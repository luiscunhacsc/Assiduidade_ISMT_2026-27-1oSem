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Presenç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<sst xmlns="http://schemas.openxmlformats.org/spreadsheetml/2006/main" count="49" uniqueCount="32">
  <si>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REGISTO DE PRESENÇAS</t>
  </si>
  <si>
    <t>Estruturas de Dados e Algoritmos  ·  27C1063  ·  Licenciatura em Informática</t>
  </si>
  <si>
    <t>2026/27  ·  1.º semestre  ·  segundas-feiras, 09h30–13h00  ·  14 aulas previstas</t>
  </si>
  <si>
    <t>ESTUDANTES</t>
  </si>
  <si>
    <t>SET</t>
  </si>
  <si>
    <t>OUT</t>
  </si>
  <si>
    <t>NOV</t>
  </si>
  <si>
    <t>DEZ</t>
  </si>
  <si>
    <t>JAN</t>
  </si>
  <si>
    <t>TOTAIS</t>
  </si>
  <si>
    <t>N.º aluno</t>
  </si>
  <si>
    <t>Nome</t>
  </si>
  <si>
    <t>P</t>
  </si>
  <si>
    <t>F</t>
  </si>
  <si>
    <t>J</t>
  </si>
  <si>
    <t>13423</t>
  </si>
  <si>
    <t>Adalgisa Falicane Mateus Pedro</t>
  </si>
  <si>
    <t>x</t>
  </si>
  <si>
    <t>X</t>
  </si>
  <si>
    <t>13439</t>
  </si>
  <si>
    <t>Américo Paz Catumba Tomás</t>
  </si>
  <si>
    <t>882155</t>
  </si>
  <si>
    <t>Carlos Gallego Menor</t>
  </si>
  <si>
    <t>13151</t>
  </si>
  <si>
    <t>João Francisco Mendes Letra</t>
  </si>
  <si>
    <t>882180</t>
  </si>
  <si>
    <t>Marina Archeli Perez</t>
  </si>
  <si>
    <t>Jesús De la Plaza Macia</t>
  </si>
  <si>
    <t>Registos por aula</t>
  </si>
  <si>
    <t>X  Presente     F  Falta     J  Falta justificada     ·     Célula vazia: ainda por registar</t>
  </si>
  <si>
    <t>05/10 é feriado nacional; 21/12 e 28/12 coincidem com as férias de Natal. Essas datas foram excluídas.</t>
  </si>
  <si>
    <t>Fontes: pauta E-SCA de 24/09/2026; Calendário Escolar 2026/27 (1.º ciclo); Código do Trabalho, art. 234.º.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</si>
</sst>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dd/mm"/>
  </numFmts>
  <fonts count="31">
    <font>
      <sz val="11"/>
      <name val="Carlito"/>
      <charset val="134"/>
    </font>
    <font>
      <sz val="10"/>
      <color rgb="FF223746"/>
      <name val="Arial"/>
      <charset val="134"/>
    </font>
    <font>
      <b/>
      <sz val="16"/>
      <color rgb="FF173F56"/>
      <name val="Arial"/>
      <charset val="134"/>
    </font>
    <font>
      <sz val="11"/>
      <color rgb="FF31576B"/>
      <name val="Arial"/>
      <charset val="134"/>
    </font>
    <font>
      <sz val="10"/>
      <color rgb="FF607583"/>
      <name val="Arial"/>
      <charset val="134"/>
    </font>
    <font>
      <b/>
      <sz val="10"/>
      <color rgb="FFFFFFFF"/>
      <name val="Arial"/>
      <charset val="134"/>
    </font>
    <font>
      <sz val="10"/>
      <color rgb="FF173F56"/>
      <name val="Arial"/>
      <charset val="134"/>
    </font>
    <font>
      <b/>
      <sz val="11"/>
      <color rgb="FF223746"/>
      <name val="Arial"/>
      <charset val="134"/>
    </font>
    <font>
      <b/>
      <sz val="10"/>
      <color rgb="FF173F56"/>
      <name val="Arial"/>
      <charset val="134"/>
    </font>
    <font>
      <i/>
      <sz val="10"/>
      <color rgb="FF607583"/>
      <name val="Arial"/>
      <charset val="134"/>
    </font>
    <font>
      <i/>
      <sz val="9"/>
      <color rgb="FF60758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F56"/>
        <bgColor indexed="64"/>
      </patternFill>
    </fill>
    <fill>
      <patternFill patternType="solid">
        <fgColor rgb="FF176C73"/>
        <bgColor indexed="64"/>
      </patternFill>
    </fill>
    <fill>
      <patternFill patternType="solid">
        <fgColor rgb="FF31576B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E7EF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B8C8CF"/>
      </bottom>
      <diagonal/>
    </border>
    <border>
      <left/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/>
      <top/>
      <bottom style="medium">
        <color rgb="FF173F56"/>
      </bottom>
      <diagonal/>
    </border>
    <border>
      <left/>
      <right/>
      <top/>
      <bottom style="thin">
        <color rgb="FFDCE5E9"/>
      </bottom>
      <diagonal/>
    </border>
    <border>
      <left/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/>
      <top/>
      <bottom style="thin">
        <color rgb="FFDCE5E9"/>
      </bottom>
      <diagonal/>
    </border>
    <border>
      <left/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/>
      <top/>
      <bottom style="thin">
        <color rgb="FFDCE5E9"/>
      </bottom>
      <diagonal/>
    </border>
    <border>
      <left/>
      <right/>
      <top style="thin">
        <color rgb="FFDCE5E9"/>
      </top>
      <bottom style="thin">
        <color rgb="FFDCE5E9"/>
      </bottom>
      <diagonal/>
    </border>
    <border>
      <left/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/>
      <top style="thin">
        <color rgb="FFDCE5E9"/>
      </top>
      <bottom style="thin">
        <color rgb="FFDCE5E9"/>
      </bottom>
      <diagonal/>
    </border>
    <border>
      <left/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/>
      <top style="thin">
        <color rgb="FFDCE5E9"/>
      </top>
      <bottom style="thin">
        <color rgb="FFDCE5E9"/>
      </bottom>
      <diagonal/>
    </border>
    <border>
      <left/>
      <right/>
      <top style="thin">
        <color rgb="FFDCE5E9"/>
      </top>
      <bottom style="thin">
        <color rgb="FFB8C8CF"/>
      </bottom>
      <diagonal/>
    </border>
    <border>
      <left/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/>
      <top style="thin">
        <color rgb="FFDCE5E9"/>
      </top>
      <bottom style="thin">
        <color rgb="FFB8C8CF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/>
      <top style="thin">
        <color rgb="FFDCE5E9"/>
      </top>
      <bottom style="thin">
        <color rgb="FFB8C8CF"/>
      </bottom>
      <diagonal/>
    </border>
    <border>
      <left/>
      <right/>
      <top style="thin">
        <color rgb="FFB8C8CF"/>
      </top>
      <bottom style="thin">
        <color rgb="FFB8C8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2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9" applyNumberFormat="0" applyAlignment="0" applyProtection="0">
      <alignment vertical="center"/>
    </xf>
    <xf numFmtId="0" fontId="21" fillId="10" borderId="30" applyNumberFormat="0" applyAlignment="0" applyProtection="0">
      <alignment vertical="center"/>
    </xf>
    <xf numFmtId="0" fontId="22" fillId="10" borderId="29" applyNumberFormat="0" applyAlignment="0" applyProtection="0">
      <alignment vertical="center"/>
    </xf>
    <xf numFmtId="0" fontId="23" fillId="11" borderId="31" applyNumberFormat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left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vertical="center"/>
    </xf>
    <xf numFmtId="0" fontId="7" fillId="5" borderId="6" xfId="0" applyNumberFormat="1" applyFont="1" applyFill="1" applyBorder="1" applyAlignment="1">
      <alignment horizontal="center" vertical="center"/>
    </xf>
    <xf numFmtId="0" fontId="7" fillId="5" borderId="7" xfId="0" applyNumberFormat="1" applyFont="1" applyFill="1" applyBorder="1" applyAlignment="1">
      <alignment horizontal="center" vertical="center"/>
    </xf>
    <xf numFmtId="0" fontId="7" fillId="5" borderId="8" xfId="0" applyNumberFormat="1" applyFont="1" applyFill="1" applyBorder="1" applyAlignment="1">
      <alignment horizontal="center" vertical="center"/>
    </xf>
    <xf numFmtId="0" fontId="8" fillId="6" borderId="9" xfId="0" applyNumberFormat="1" applyFont="1" applyFill="1" applyBorder="1" applyAlignment="1">
      <alignment horizontal="center" vertical="center"/>
    </xf>
    <xf numFmtId="0" fontId="8" fillId="6" borderId="10" xfId="0" applyNumberFormat="1" applyFont="1" applyFill="1" applyBorder="1" applyAlignment="1">
      <alignment horizontal="center" vertical="center"/>
    </xf>
    <xf numFmtId="0" fontId="8" fillId="6" borderId="11" xfId="0" applyNumberFormat="1" applyFont="1" applyFill="1" applyBorder="1" applyAlignment="1">
      <alignment horizontal="center" vertical="center"/>
    </xf>
    <xf numFmtId="0" fontId="1" fillId="6" borderId="12" xfId="0" applyNumberFormat="1" applyFont="1" applyFill="1" applyBorder="1" applyAlignment="1">
      <alignment horizontal="center" vertical="center"/>
    </xf>
    <xf numFmtId="0" fontId="6" fillId="6" borderId="12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horizontal="center" vertical="center"/>
    </xf>
    <xf numFmtId="0" fontId="7" fillId="5" borderId="14" xfId="0" applyNumberFormat="1" applyFont="1" applyFill="1" applyBorder="1" applyAlignment="1">
      <alignment horizontal="center" vertical="center"/>
    </xf>
    <xf numFmtId="0" fontId="7" fillId="5" borderId="15" xfId="0" applyNumberFormat="1" applyFont="1" applyFill="1" applyBorder="1" applyAlignment="1">
      <alignment horizontal="center" vertical="center"/>
    </xf>
    <xf numFmtId="0" fontId="8" fillId="6" borderId="16" xfId="0" applyNumberFormat="1" applyFont="1" applyFill="1" applyBorder="1" applyAlignment="1">
      <alignment horizontal="center" vertical="center"/>
    </xf>
    <xf numFmtId="0" fontId="8" fillId="6" borderId="17" xfId="0" applyNumberFormat="1" applyFont="1" applyFill="1" applyBorder="1" applyAlignment="1">
      <alignment horizontal="center" vertical="center"/>
    </xf>
    <xf numFmtId="0" fontId="8" fillId="6" borderId="18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vertical="center"/>
    </xf>
    <xf numFmtId="0" fontId="1" fillId="0" borderId="19" xfId="0" applyNumberFormat="1" applyFont="1" applyFill="1" applyBorder="1" applyAlignment="1">
      <alignment horizontal="center" vertical="center"/>
    </xf>
    <xf numFmtId="0" fontId="6" fillId="0" borderId="19" xfId="0" applyNumberFormat="1" applyFont="1" applyFill="1" applyBorder="1" applyAlignment="1">
      <alignment vertical="center"/>
    </xf>
    <xf numFmtId="0" fontId="7" fillId="5" borderId="20" xfId="0" applyNumberFormat="1" applyFont="1" applyFill="1" applyBorder="1" applyAlignment="1">
      <alignment horizontal="center" vertical="center"/>
    </xf>
    <xf numFmtId="0" fontId="7" fillId="5" borderId="21" xfId="0" applyNumberFormat="1" applyFont="1" applyFill="1" applyBorder="1" applyAlignment="1">
      <alignment horizontal="center" vertical="center"/>
    </xf>
    <xf numFmtId="0" fontId="7" fillId="5" borderId="22" xfId="0" applyNumberFormat="1" applyFont="1" applyFill="1" applyBorder="1" applyAlignment="1">
      <alignment horizontal="center" vertical="center"/>
    </xf>
    <xf numFmtId="0" fontId="8" fillId="6" borderId="23" xfId="0" applyNumberFormat="1" applyFont="1" applyFill="1" applyBorder="1" applyAlignment="1">
      <alignment horizontal="center" vertical="center"/>
    </xf>
    <xf numFmtId="0" fontId="8" fillId="6" borderId="24" xfId="0" applyNumberFormat="1" applyFont="1" applyFill="1" applyBorder="1" applyAlignment="1">
      <alignment horizontal="center" vertical="center"/>
    </xf>
    <xf numFmtId="0" fontId="8" fillId="7" borderId="25" xfId="0" applyNumberFormat="1" applyFont="1" applyFill="1" applyBorder="1" applyAlignment="1">
      <alignment vertical="center"/>
    </xf>
    <xf numFmtId="0" fontId="8" fillId="7" borderId="25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20">
    <dxf>
      <font>
        <b val="1"/>
        <color rgb="FF285785"/>
      </font>
      <fill>
        <patternFill patternType="solid">
          <bgColor rgb="FFDEEDFA"/>
        </patternFill>
      </fill>
    </dxf>
    <dxf>
      <font>
        <b val="1"/>
        <color rgb="FFAB3434"/>
      </font>
      <fill>
        <patternFill patternType="solid">
          <bgColor rgb="FFFCE5E3"/>
        </patternFill>
      </fill>
    </dxf>
    <dxf>
      <font>
        <b val="1"/>
        <color rgb="FF14583B"/>
      </font>
      <fill>
        <patternFill patternType="solid">
          <bgColor rgb="FFDCF2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F56"/>
  </sheetPr>
  <dimension ref="A1:S21"/>
  <sheetViews>
    <sheetView showGridLines="0" tabSelected="1" zoomScale="109" zoomScaleNormal="109" workbookViewId="0">
      <pane xSplit="2" ySplit="7" topLeftCell="C11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4"/>
  <cols>
    <col min="1" max="1" width="12" customWidth="1"/>
    <col min="2" max="2" width="39" customWidth="1"/>
    <col min="3" max="16" width="8.3" customWidth="1"/>
    <col min="17" max="19" width="8.2" customWidth="1"/>
  </cols>
  <sheetData>
    <row r="1" ht="10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" customHeight="1" spans="1:19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1" customHeight="1" spans="1:19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0" customHeight="1" spans="1:19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Height="1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22" customHeight="1" spans="1:19">
      <c r="A6" s="6"/>
      <c r="B6" s="7" t="s">
        <v>3</v>
      </c>
      <c r="C6" s="8" t="s">
        <v>4</v>
      </c>
      <c r="D6" s="9"/>
      <c r="E6" s="9"/>
      <c r="F6" s="8" t="s">
        <v>5</v>
      </c>
      <c r="G6" s="9"/>
      <c r="H6" s="9"/>
      <c r="I6" s="8" t="s">
        <v>6</v>
      </c>
      <c r="J6" s="9"/>
      <c r="K6" s="9"/>
      <c r="L6" s="9"/>
      <c r="M6" s="9"/>
      <c r="N6" s="8" t="s">
        <v>7</v>
      </c>
      <c r="O6" s="9"/>
      <c r="P6" s="8" t="s">
        <v>8</v>
      </c>
      <c r="Q6" s="7" t="s">
        <v>9</v>
      </c>
      <c r="R6" s="6"/>
      <c r="S6" s="6"/>
    </row>
    <row r="7" ht="29" customHeight="1" spans="1:19">
      <c r="A7" s="10" t="s">
        <v>10</v>
      </c>
      <c r="B7" s="11" t="s">
        <v>11</v>
      </c>
      <c r="C7" s="12">
        <v>46279</v>
      </c>
      <c r="D7" s="12">
        <v>46286</v>
      </c>
      <c r="E7" s="12">
        <v>46293</v>
      </c>
      <c r="F7" s="12">
        <v>46307</v>
      </c>
      <c r="G7" s="12">
        <v>46314</v>
      </c>
      <c r="H7" s="12">
        <v>46321</v>
      </c>
      <c r="I7" s="12">
        <v>46328</v>
      </c>
      <c r="J7" s="12">
        <v>46335</v>
      </c>
      <c r="K7" s="12">
        <v>46342</v>
      </c>
      <c r="L7" s="12">
        <v>46349</v>
      </c>
      <c r="M7" s="12">
        <v>46356</v>
      </c>
      <c r="N7" s="12">
        <v>46363</v>
      </c>
      <c r="O7" s="12">
        <v>46370</v>
      </c>
      <c r="P7" s="12">
        <v>46391</v>
      </c>
      <c r="Q7" s="13" t="s">
        <v>12</v>
      </c>
      <c r="R7" s="13" t="s">
        <v>13</v>
      </c>
      <c r="S7" s="14" t="s">
        <v>14</v>
      </c>
    </row>
    <row r="8" ht="34" customHeight="1" spans="1:19">
      <c r="A8" s="15" t="s">
        <v>15</v>
      </c>
      <c r="B8" s="16" t="s">
        <v>16</v>
      </c>
      <c r="C8" s="17" t="s">
        <v>17</v>
      </c>
      <c r="D8" s="18"/>
      <c r="E8" s="18" t="s">
        <v>18</v>
      </c>
      <c r="F8" s="18" t="s">
        <v>18</v>
      </c>
      <c r="G8" s="18" t="s">
        <v>18</v>
      </c>
      <c r="H8" s="18"/>
      <c r="I8" s="18"/>
      <c r="J8" s="18"/>
      <c r="K8" s="18"/>
      <c r="L8" s="18"/>
      <c r="M8" s="18"/>
      <c r="N8" s="18"/>
      <c r="O8" s="18"/>
      <c r="P8" s="19"/>
      <c r="Q8" s="20">
        <f>COUNTIF(C8:P8,"X")</f>
        <v>4</v>
      </c>
      <c r="R8" s="21">
        <f t="shared" ref="R8:R13" si="0">COUNTIF(C8:P8,"F")</f>
        <v>0</v>
      </c>
      <c r="S8" s="22">
        <f t="shared" ref="S8:S13" si="1">COUNTIF(C8:P8,"J")</f>
        <v>0</v>
      </c>
    </row>
    <row r="9" ht="34" customHeight="1" spans="1:19">
      <c r="A9" s="23" t="s">
        <v>19</v>
      </c>
      <c r="B9" s="24" t="s">
        <v>20</v>
      </c>
      <c r="C9" s="25" t="s">
        <v>17</v>
      </c>
      <c r="D9" s="26"/>
      <c r="E9" s="26" t="s">
        <v>18</v>
      </c>
      <c r="F9" s="26" t="s">
        <v>18</v>
      </c>
      <c r="G9" s="26"/>
      <c r="H9" s="26"/>
      <c r="I9" s="26"/>
      <c r="J9" s="26"/>
      <c r="K9" s="26"/>
      <c r="L9" s="26"/>
      <c r="M9" s="26"/>
      <c r="N9" s="26"/>
      <c r="O9" s="26"/>
      <c r="P9" s="27"/>
      <c r="Q9" s="28">
        <f t="shared" ref="Q9:Q13" si="2">COUNTIF(C9:P9,"X")</f>
        <v>3</v>
      </c>
      <c r="R9" s="29">
        <f t="shared" si="0"/>
        <v>0</v>
      </c>
      <c r="S9" s="30">
        <f t="shared" si="1"/>
        <v>0</v>
      </c>
    </row>
    <row r="10" ht="34" customHeight="1" spans="1:19">
      <c r="A10" s="31" t="s">
        <v>21</v>
      </c>
      <c r="B10" s="32" t="s">
        <v>22</v>
      </c>
      <c r="C10" s="25" t="s">
        <v>17</v>
      </c>
      <c r="D10" s="26" t="s">
        <v>17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8">
        <f t="shared" si="2"/>
        <v>2</v>
      </c>
      <c r="R10" s="29">
        <f t="shared" si="0"/>
        <v>0</v>
      </c>
      <c r="S10" s="30">
        <f t="shared" si="1"/>
        <v>0</v>
      </c>
    </row>
    <row r="11" ht="34" customHeight="1" spans="1:19">
      <c r="A11" s="23" t="s">
        <v>23</v>
      </c>
      <c r="B11" s="24" t="s">
        <v>24</v>
      </c>
      <c r="C11" s="25" t="s">
        <v>17</v>
      </c>
      <c r="D11" s="26" t="s">
        <v>17</v>
      </c>
      <c r="E11" s="26" t="s">
        <v>17</v>
      </c>
      <c r="F11" s="26" t="s">
        <v>18</v>
      </c>
      <c r="G11" s="26" t="s">
        <v>18</v>
      </c>
      <c r="H11" s="26"/>
      <c r="I11" s="26"/>
      <c r="J11" s="26"/>
      <c r="K11" s="26"/>
      <c r="L11" s="26"/>
      <c r="M11" s="26"/>
      <c r="N11" s="26"/>
      <c r="O11" s="26"/>
      <c r="P11" s="27"/>
      <c r="Q11" s="28">
        <f t="shared" si="2"/>
        <v>5</v>
      </c>
      <c r="R11" s="29">
        <f t="shared" si="0"/>
        <v>0</v>
      </c>
      <c r="S11" s="30">
        <f t="shared" si="1"/>
        <v>0</v>
      </c>
    </row>
    <row r="12" ht="34" customHeight="1" spans="1:19">
      <c r="A12" s="33" t="s">
        <v>25</v>
      </c>
      <c r="B12" s="34" t="s">
        <v>26</v>
      </c>
      <c r="C12" s="35" t="s">
        <v>17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28">
        <f t="shared" si="2"/>
        <v>1</v>
      </c>
      <c r="R12" s="38">
        <f t="shared" si="0"/>
        <v>0</v>
      </c>
      <c r="S12" s="39">
        <f t="shared" si="1"/>
        <v>0</v>
      </c>
    </row>
    <row r="13" ht="26" customHeight="1" spans="1:19">
      <c r="A13" s="23">
        <v>882167</v>
      </c>
      <c r="B13" s="24" t="s">
        <v>27</v>
      </c>
      <c r="C13" s="25" t="s">
        <v>17</v>
      </c>
      <c r="D13" s="26" t="s">
        <v>17</v>
      </c>
      <c r="E13" s="26"/>
      <c r="F13" s="26" t="s">
        <v>18</v>
      </c>
      <c r="G13" s="26" t="s">
        <v>18</v>
      </c>
      <c r="H13" s="26"/>
      <c r="I13" s="26"/>
      <c r="J13" s="26"/>
      <c r="K13" s="26"/>
      <c r="L13" s="26"/>
      <c r="M13" s="26"/>
      <c r="N13" s="26"/>
      <c r="O13" s="26"/>
      <c r="P13" s="27"/>
      <c r="Q13" s="28">
        <f t="shared" si="2"/>
        <v>4</v>
      </c>
      <c r="R13" s="29">
        <f t="shared" si="0"/>
        <v>0</v>
      </c>
      <c r="S13" s="30">
        <f t="shared" si="1"/>
        <v>0</v>
      </c>
    </row>
    <row r="14" ht="9" customHeight="1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5" customHeight="1" spans="1:19">
      <c r="A15" s="1"/>
      <c r="B15" s="40" t="s">
        <v>28</v>
      </c>
      <c r="C15" s="41">
        <f>COUNTIF(C8:C12,"X")+COUNTIF(C8:C12,"F")+COUNTIF(C8:C12,"J")</f>
        <v>5</v>
      </c>
      <c r="D15" s="41">
        <f t="shared" ref="D15:P15" si="3">COUNTIF(D8:D12,"X")+COUNTIF(D8:D12,"F")+COUNTIF(D8:D12,"J")</f>
        <v>2</v>
      </c>
      <c r="E15" s="41">
        <f t="shared" si="3"/>
        <v>3</v>
      </c>
      <c r="F15" s="41">
        <f t="shared" si="3"/>
        <v>3</v>
      </c>
      <c r="G15" s="41">
        <f t="shared" si="3"/>
        <v>2</v>
      </c>
      <c r="H15" s="41">
        <f t="shared" si="3"/>
        <v>0</v>
      </c>
      <c r="I15" s="41">
        <f t="shared" si="3"/>
        <v>0</v>
      </c>
      <c r="J15" s="41">
        <f t="shared" si="3"/>
        <v>0</v>
      </c>
      <c r="K15" s="41">
        <f t="shared" si="3"/>
        <v>0</v>
      </c>
      <c r="L15" s="41">
        <f t="shared" si="3"/>
        <v>0</v>
      </c>
      <c r="M15" s="41">
        <f t="shared" si="3"/>
        <v>0</v>
      </c>
      <c r="N15" s="41">
        <f t="shared" si="3"/>
        <v>0</v>
      </c>
      <c r="O15" s="41">
        <f t="shared" si="3"/>
        <v>0</v>
      </c>
      <c r="P15" s="41">
        <f t="shared" si="3"/>
        <v>0</v>
      </c>
      <c r="Q15" s="41">
        <f>SUM(Q8:Q12)</f>
        <v>15</v>
      </c>
      <c r="R15" s="41">
        <f>SUM(R8:R12)</f>
        <v>0</v>
      </c>
      <c r="S15" s="41">
        <f>SUM(S8:S12)</f>
        <v>0</v>
      </c>
    </row>
    <row r="16" ht="12" customHeight="1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20" customHeight="1" spans="1:19">
      <c r="A17" s="42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20" customHeight="1" spans="1:19">
      <c r="A18" s="43" t="s">
        <v>30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20" customHeight="1" spans="1:19">
      <c r="A19" s="44" t="s">
        <v>31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20" customHeight="1" spans="1:1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</sheetData>
  <conditionalFormatting sqref="C13:P13">
    <cfRule type="expression" dxfId="0" priority="3">
      <formula>C13="J"</formula>
    </cfRule>
    <cfRule type="expression" dxfId="1" priority="2">
      <formula>C13="F"</formula>
    </cfRule>
    <cfRule type="expression" dxfId="2" priority="1">
      <formula>C13="P"</formula>
    </cfRule>
  </conditionalFormatting>
  <conditionalFormatting sqref="C8:P12">
    <cfRule type="expression" dxfId="2" priority="4">
      <formula>C8="P"</formula>
    </cfRule>
    <cfRule type="expression" dxfId="1" priority="5">
      <formula>C8="F"</formula>
    </cfRule>
    <cfRule type="expression" dxfId="0" priority="6">
      <formula>C8="J"</formula>
    </cfRule>
  </conditionalFormatting>
  <dataValidations count="1">
    <dataValidation type="list" sqref="C8:P13">
      <formula1>"P,F,J"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Cunha</cp:lastModifiedBy>
  <dcterms:created xsi:type="dcterms:W3CDTF">2026-09-24T09:05:00Z</dcterms:created>
  <dcterms:modified xsi:type="dcterms:W3CDTF">2026-10-19T09:12:30Z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F219D081013D467CA4947D51B6E8FE8E_13</vt:lpwstr>
  </property>
  <property fmtid="{D5CDD505-2E9C-101B-9397-08002B2CF9AE}" pid="3" name="KSOProductBuildVer">
    <vt:lpwstr>2070-12.1.0.29162</vt:lpwstr>
  </property>
  <property fmtid="{D5CDD505-2E9C-101B-9397-08002B2CF9AE}" pid="4" name="CalculationRule">
    <vt:i4>0</vt:i4>
  </property>
</Properties>
</file>