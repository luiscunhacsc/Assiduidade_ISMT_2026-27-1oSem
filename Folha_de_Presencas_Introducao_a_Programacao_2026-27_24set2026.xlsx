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Presenç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<sst xmlns="http://schemas.openxmlformats.org/spreadsheetml/2006/main" count="160" uniqueCount="58">
  <si>
    <t>REGISTO DE PRESENÇAS</t>
  </si>
  <si>
    <t>Introdução à Programação  ·  27C1132  ·  Licenciatura em Informática</t>
  </si>
  <si>
    <t>2026/27  ·  1.º semestre  ·  segundas e quintas-feiras, 15h30–16h30  ·  29 aulas previstas</t>
  </si>
  <si>
    <t>ESTUDANTES</t>
  </si>
  <si>
    <t>SET</t>
  </si>
  <si>
    <t>OUT</t>
  </si>
  <si>
    <t>NOV</t>
  </si>
  <si>
    <t>DEZ</t>
  </si>
  <si>
    <t>JAN</t>
  </si>
  <si>
    <t>TOTAIS</t>
  </si>
  <si>
    <t>SEG</t>
  </si>
  <si>
    <t>QUI</t>
  </si>
  <si>
    <t>N.º aluno</t>
  </si>
  <si>
    <t>Nome</t>
  </si>
  <si>
    <t>P</t>
  </si>
  <si>
    <t>F</t>
  </si>
  <si>
    <t>J</t>
  </si>
  <si>
    <t>13689</t>
  </si>
  <si>
    <t>Aleixaranço Bartolomeu Sacala</t>
  </si>
  <si>
    <t>X</t>
  </si>
  <si>
    <t>889197</t>
  </si>
  <si>
    <t>António Mauricio Tavares Filho</t>
  </si>
  <si>
    <t>882135</t>
  </si>
  <si>
    <t>António Rubinho Cardoso Mendes</t>
  </si>
  <si>
    <t>13843</t>
  </si>
  <si>
    <t>Crisna Esménia Neto de Sousa Guimarães</t>
  </si>
  <si>
    <t>882032</t>
  </si>
  <si>
    <t>Elsa Mvula Guimbi</t>
  </si>
  <si>
    <t>882071</t>
  </si>
  <si>
    <t>Emanuel Martinho António</t>
  </si>
  <si>
    <t>889199</t>
  </si>
  <si>
    <t>Filipe Manuel Ferreira Fidalgo</t>
  </si>
  <si>
    <t>13775</t>
  </si>
  <si>
    <t>Guilherme André Martins dos Santos</t>
  </si>
  <si>
    <t>882140</t>
  </si>
  <si>
    <t>Kelvin Atumane Nuro</t>
  </si>
  <si>
    <t>882109</t>
  </si>
  <si>
    <t>Liudimila Vanusa Ortet Vieira</t>
  </si>
  <si>
    <t>882180</t>
  </si>
  <si>
    <t>Marina Archeli Perez</t>
  </si>
  <si>
    <t>13829</t>
  </si>
  <si>
    <t>Martim Barros Rodrigues da Cunha Mateus</t>
  </si>
  <si>
    <t>882114</t>
  </si>
  <si>
    <t>Nicola Santos Johnson</t>
  </si>
  <si>
    <t>13665</t>
  </si>
  <si>
    <t>Pedro Henrique Lima da Silva</t>
  </si>
  <si>
    <t>889200</t>
  </si>
  <si>
    <t>Pencilvânia André Paiva</t>
  </si>
  <si>
    <t>13851</t>
  </si>
  <si>
    <t>Rui Simão Terceiro Valente</t>
  </si>
  <si>
    <t>13668</t>
  </si>
  <si>
    <t>Tiago Daniel Gonçalves Amaro</t>
  </si>
  <si>
    <t>13664</t>
  </si>
  <si>
    <t>Walter Gabriel Souza e Silva</t>
  </si>
  <si>
    <t>Registos por aula</t>
  </si>
  <si>
    <t>P  Presente     F  Falta     J  Falta justificada     ·     Célula vazia: ainda por registar</t>
  </si>
  <si>
    <t>05/10 é feriado nacional; 21/12, 24/12, 28/12 e 31/12 coincidem com as férias de Natal. Datas excluídas.</t>
  </si>
  <si>
    <t>Fontes: pauta E-SCA de 24/09/2026; Calendário Escolar 2026/27 (1.º ciclo); Código do Trabalho, art. 234.º.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</si>
</sst>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dd/mm"/>
  </numFmts>
  <fonts count="32">
    <font>
      <sz val="11"/>
      <name val="Carlito"/>
      <charset val="134"/>
    </font>
    <font>
      <sz val="10"/>
      <color rgb="FF223746"/>
      <name val="Arial"/>
      <charset val="134"/>
    </font>
    <font>
      <b/>
      <sz val="16"/>
      <color rgb="FF173F56"/>
      <name val="Arial"/>
      <charset val="134"/>
    </font>
    <font>
      <sz val="11"/>
      <color rgb="FF31576B"/>
      <name val="Arial"/>
      <charset val="134"/>
    </font>
    <font>
      <sz val="10"/>
      <color rgb="FF607583"/>
      <name val="Arial"/>
      <charset val="134"/>
    </font>
    <font>
      <b/>
      <sz val="10"/>
      <color rgb="FFFFFFFF"/>
      <name val="Arial"/>
      <charset val="134"/>
    </font>
    <font>
      <b/>
      <sz val="9"/>
      <color rgb="FFFFFFFF"/>
      <name val="Arial"/>
      <charset val="134"/>
    </font>
    <font>
      <sz val="10"/>
      <color rgb="FF173F56"/>
      <name val="Arial"/>
      <charset val="134"/>
    </font>
    <font>
      <b/>
      <sz val="11"/>
      <color rgb="FF223746"/>
      <name val="Arial"/>
      <charset val="134"/>
    </font>
    <font>
      <b/>
      <sz val="10"/>
      <color rgb="FF173F56"/>
      <name val="Arial"/>
      <charset val="134"/>
    </font>
    <font>
      <i/>
      <sz val="10"/>
      <color rgb="FF607583"/>
      <name val="Arial"/>
      <charset val="134"/>
    </font>
    <font>
      <i/>
      <sz val="9"/>
      <color rgb="FF60758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F56"/>
        <bgColor indexed="64"/>
      </patternFill>
    </fill>
    <fill>
      <patternFill patternType="solid">
        <fgColor rgb="FF176C73"/>
        <bgColor indexed="64"/>
      </patternFill>
    </fill>
    <fill>
      <patternFill patternType="solid">
        <fgColor rgb="FF527B8B"/>
        <bgColor indexed="64"/>
      </patternFill>
    </fill>
    <fill>
      <patternFill patternType="solid">
        <fgColor rgb="FF31576B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E7EF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B8C8CF"/>
      </bottom>
      <diagonal/>
    </border>
    <border>
      <left/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/>
      <top/>
      <bottom style="medium">
        <color rgb="FF173F56"/>
      </bottom>
      <diagonal/>
    </border>
    <border>
      <left/>
      <right/>
      <top/>
      <bottom style="thin">
        <color rgb="FFDCE5E9"/>
      </bottom>
      <diagonal/>
    </border>
    <border>
      <left/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/>
      <top/>
      <bottom style="thin">
        <color rgb="FFDCE5E9"/>
      </bottom>
      <diagonal/>
    </border>
    <border>
      <left/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/>
      <top/>
      <bottom style="thin">
        <color rgb="FFDCE5E9"/>
      </bottom>
      <diagonal/>
    </border>
    <border>
      <left/>
      <right/>
      <top style="thin">
        <color rgb="FFDCE5E9"/>
      </top>
      <bottom style="thin">
        <color rgb="FFDCE5E9"/>
      </bottom>
      <diagonal/>
    </border>
    <border>
      <left/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/>
      <top style="thin">
        <color rgb="FFDCE5E9"/>
      </top>
      <bottom style="thin">
        <color rgb="FFDCE5E9"/>
      </bottom>
      <diagonal/>
    </border>
    <border>
      <left/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/>
      <top style="thin">
        <color rgb="FFDCE5E9"/>
      </top>
      <bottom style="thin">
        <color rgb="FFDCE5E9"/>
      </bottom>
      <diagonal/>
    </border>
    <border>
      <left/>
      <right/>
      <top style="thin">
        <color rgb="FFDCE5E9"/>
      </top>
      <bottom style="thin">
        <color rgb="FFB8C8CF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/>
      <top style="thin">
        <color rgb="FFDCE5E9"/>
      </top>
      <bottom style="thin">
        <color rgb="FFB8C8CF"/>
      </bottom>
      <diagonal/>
    </border>
    <border>
      <left/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/>
      <top style="thin">
        <color rgb="FFDCE5E9"/>
      </top>
      <bottom style="thin">
        <color rgb="FFB8C8CF"/>
      </bottom>
      <diagonal/>
    </border>
    <border>
      <left/>
      <right/>
      <top style="thin">
        <color rgb="FFB8C8CF"/>
      </top>
      <bottom style="thin">
        <color rgb="FFB8C8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9" applyNumberFormat="0" applyAlignment="0" applyProtection="0">
      <alignment vertical="center"/>
    </xf>
    <xf numFmtId="0" fontId="22" fillId="11" borderId="30" applyNumberFormat="0" applyAlignment="0" applyProtection="0">
      <alignment vertical="center"/>
    </xf>
    <xf numFmtId="0" fontId="23" fillId="11" borderId="29" applyNumberFormat="0" applyAlignment="0" applyProtection="0">
      <alignment vertical="center"/>
    </xf>
    <xf numFmtId="0" fontId="24" fillId="12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left" vertical="center"/>
    </xf>
    <xf numFmtId="180" fontId="5" fillId="5" borderId="3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vertical="center"/>
    </xf>
    <xf numFmtId="0" fontId="8" fillId="6" borderId="6" xfId="0" applyNumberFormat="1" applyFont="1" applyFill="1" applyBorder="1" applyAlignment="1">
      <alignment horizontal="center" vertical="center"/>
    </xf>
    <xf numFmtId="0" fontId="8" fillId="6" borderId="7" xfId="0" applyNumberFormat="1" applyFont="1" applyFill="1" applyBorder="1" applyAlignment="1">
      <alignment horizontal="center" vertical="center"/>
    </xf>
    <xf numFmtId="0" fontId="8" fillId="6" borderId="8" xfId="0" applyNumberFormat="1" applyFont="1" applyFill="1" applyBorder="1" applyAlignment="1">
      <alignment horizontal="center" vertical="center"/>
    </xf>
    <xf numFmtId="0" fontId="9" fillId="7" borderId="9" xfId="0" applyNumberFormat="1" applyFont="1" applyFill="1" applyBorder="1" applyAlignment="1">
      <alignment horizontal="center" vertical="center"/>
    </xf>
    <xf numFmtId="0" fontId="9" fillId="7" borderId="10" xfId="0" applyNumberFormat="1" applyFont="1" applyFill="1" applyBorder="1" applyAlignment="1">
      <alignment horizontal="center" vertical="center"/>
    </xf>
    <xf numFmtId="0" fontId="9" fillId="7" borderId="11" xfId="0" applyNumberFormat="1" applyFont="1" applyFill="1" applyBorder="1" applyAlignment="1">
      <alignment horizontal="center" vertical="center"/>
    </xf>
    <xf numFmtId="0" fontId="1" fillId="7" borderId="12" xfId="0" applyNumberFormat="1" applyFont="1" applyFill="1" applyBorder="1" applyAlignment="1">
      <alignment horizontal="center" vertical="center"/>
    </xf>
    <xf numFmtId="0" fontId="7" fillId="7" borderId="12" xfId="0" applyNumberFormat="1" applyFont="1" applyFill="1" applyBorder="1" applyAlignment="1">
      <alignment vertical="center"/>
    </xf>
    <xf numFmtId="0" fontId="8" fillId="6" borderId="13" xfId="0" applyNumberFormat="1" applyFont="1" applyFill="1" applyBorder="1" applyAlignment="1">
      <alignment horizontal="center" vertical="center"/>
    </xf>
    <xf numFmtId="0" fontId="8" fillId="6" borderId="14" xfId="0" applyNumberFormat="1" applyFont="1" applyFill="1" applyBorder="1" applyAlignment="1">
      <alignment horizontal="center" vertical="center"/>
    </xf>
    <xf numFmtId="0" fontId="8" fillId="6" borderId="15" xfId="0" applyNumberFormat="1" applyFont="1" applyFill="1" applyBorder="1" applyAlignment="1">
      <alignment horizontal="center" vertical="center"/>
    </xf>
    <xf numFmtId="0" fontId="9" fillId="7" borderId="16" xfId="0" applyNumberFormat="1" applyFont="1" applyFill="1" applyBorder="1" applyAlignment="1">
      <alignment horizontal="center" vertical="center"/>
    </xf>
    <xf numFmtId="0" fontId="9" fillId="7" borderId="17" xfId="0" applyNumberFormat="1" applyFont="1" applyFill="1" applyBorder="1" applyAlignment="1">
      <alignment horizontal="center" vertical="center"/>
    </xf>
    <xf numFmtId="0" fontId="9" fillId="7" borderId="18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>
      <alignment vertical="center"/>
    </xf>
    <xf numFmtId="0" fontId="1" fillId="7" borderId="19" xfId="0" applyNumberFormat="1" applyFont="1" applyFill="1" applyBorder="1" applyAlignment="1">
      <alignment horizontal="center" vertical="center"/>
    </xf>
    <xf numFmtId="0" fontId="7" fillId="7" borderId="19" xfId="0" applyNumberFormat="1" applyFont="1" applyFill="1" applyBorder="1" applyAlignment="1">
      <alignment vertical="center"/>
    </xf>
    <xf numFmtId="0" fontId="8" fillId="6" borderId="20" xfId="0" applyNumberFormat="1" applyFont="1" applyFill="1" applyBorder="1" applyAlignment="1">
      <alignment horizontal="center" vertical="center"/>
    </xf>
    <xf numFmtId="0" fontId="8" fillId="6" borderId="21" xfId="0" applyNumberFormat="1" applyFont="1" applyFill="1" applyBorder="1" applyAlignment="1">
      <alignment horizontal="center" vertical="center"/>
    </xf>
    <xf numFmtId="0" fontId="9" fillId="7" borderId="22" xfId="0" applyNumberFormat="1" applyFont="1" applyFill="1" applyBorder="1" applyAlignment="1">
      <alignment horizontal="center" vertical="center"/>
    </xf>
    <xf numFmtId="0" fontId="9" fillId="7" borderId="23" xfId="0" applyNumberFormat="1" applyFont="1" applyFill="1" applyBorder="1" applyAlignment="1">
      <alignment horizontal="center" vertical="center"/>
    </xf>
    <xf numFmtId="0" fontId="9" fillId="7" borderId="24" xfId="0" applyNumberFormat="1" applyFont="1" applyFill="1" applyBorder="1" applyAlignment="1">
      <alignment horizontal="center" vertical="center"/>
    </xf>
    <xf numFmtId="0" fontId="9" fillId="8" borderId="25" xfId="0" applyNumberFormat="1" applyFont="1" applyFill="1" applyBorder="1" applyAlignment="1">
      <alignment vertical="center"/>
    </xf>
    <xf numFmtId="0" fontId="9" fillId="8" borderId="25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20">
    <dxf>
      <font>
        <b val="1"/>
        <color rgb="FF14583B"/>
      </font>
      <fill>
        <patternFill patternType="solid">
          <bgColor rgb="FFDCF2E8"/>
        </patternFill>
      </fill>
    </dxf>
    <dxf>
      <font>
        <b val="1"/>
        <color rgb="FFAB3434"/>
      </font>
      <fill>
        <patternFill patternType="solid">
          <bgColor rgb="FFFCE5E3"/>
        </patternFill>
      </fill>
    </dxf>
    <dxf>
      <font>
        <b val="1"/>
        <color rgb="FF285785"/>
      </font>
      <fill>
        <patternFill patternType="solid">
          <bgColor rgb="FFDEED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F56"/>
  </sheetPr>
  <dimension ref="A1:AH34"/>
  <sheetViews>
    <sheetView showGridLines="0" tabSelected="1" workbookViewId="0">
      <pane xSplit="2" ySplit="8" topLeftCell="C24" activePane="bottomRight" state="frozen"/>
      <selection/>
      <selection pane="topRight"/>
      <selection pane="bottomLeft"/>
      <selection pane="bottomRight" activeCell="G28" sqref="G28"/>
    </sheetView>
  </sheetViews>
  <sheetFormatPr defaultColWidth="9" defaultRowHeight="14"/>
  <cols>
    <col min="1" max="1" width="12" customWidth="1"/>
    <col min="2" max="2" width="46" customWidth="1"/>
    <col min="3" max="31" width="8.1" customWidth="1"/>
    <col min="32" max="34" width="8.3" customWidth="1"/>
  </cols>
  <sheetData>
    <row r="1" ht="10" customHeight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1:3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1" customHeight="1" spans="1:34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0" customHeight="1" spans="1:3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customHeight="1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23" customHeight="1" spans="1:34">
      <c r="A6" s="6"/>
      <c r="B6" s="7" t="s">
        <v>3</v>
      </c>
      <c r="C6" s="8" t="s">
        <v>4</v>
      </c>
      <c r="D6" s="9"/>
      <c r="E6" s="9"/>
      <c r="F6" s="9"/>
      <c r="G6" s="9"/>
      <c r="H6" s="8" t="s">
        <v>5</v>
      </c>
      <c r="I6" s="9"/>
      <c r="J6" s="9"/>
      <c r="K6" s="9"/>
      <c r="L6" s="9"/>
      <c r="M6" s="9"/>
      <c r="N6" s="9"/>
      <c r="O6" s="9"/>
      <c r="P6" s="8" t="s">
        <v>6</v>
      </c>
      <c r="Q6" s="9"/>
      <c r="R6" s="9"/>
      <c r="S6" s="9"/>
      <c r="T6" s="9"/>
      <c r="U6" s="9"/>
      <c r="V6" s="9"/>
      <c r="W6" s="9"/>
      <c r="X6" s="9"/>
      <c r="Y6" s="8" t="s">
        <v>7</v>
      </c>
      <c r="Z6" s="9"/>
      <c r="AA6" s="9"/>
      <c r="AB6" s="9"/>
      <c r="AC6" s="9"/>
      <c r="AD6" s="8" t="s">
        <v>8</v>
      </c>
      <c r="AE6" s="9"/>
      <c r="AF6" s="7" t="s">
        <v>9</v>
      </c>
      <c r="AG6" s="6"/>
      <c r="AH6" s="6"/>
    </row>
    <row r="7" ht="21" customHeight="1" spans="1:34">
      <c r="A7" s="10"/>
      <c r="B7" s="10"/>
      <c r="C7" s="10" t="s">
        <v>10</v>
      </c>
      <c r="D7" s="10" t="s">
        <v>11</v>
      </c>
      <c r="E7" s="10" t="s">
        <v>10</v>
      </c>
      <c r="F7" s="10" t="s">
        <v>11</v>
      </c>
      <c r="G7" s="10" t="s">
        <v>10</v>
      </c>
      <c r="H7" s="10" t="s">
        <v>11</v>
      </c>
      <c r="I7" s="10" t="s">
        <v>11</v>
      </c>
      <c r="J7" s="10" t="s">
        <v>10</v>
      </c>
      <c r="K7" s="10" t="s">
        <v>11</v>
      </c>
      <c r="L7" s="10" t="s">
        <v>10</v>
      </c>
      <c r="M7" s="10" t="s">
        <v>11</v>
      </c>
      <c r="N7" s="10" t="s">
        <v>10</v>
      </c>
      <c r="O7" s="10" t="s">
        <v>11</v>
      </c>
      <c r="P7" s="10" t="s">
        <v>10</v>
      </c>
      <c r="Q7" s="10" t="s">
        <v>11</v>
      </c>
      <c r="R7" s="10" t="s">
        <v>10</v>
      </c>
      <c r="S7" s="10" t="s">
        <v>11</v>
      </c>
      <c r="T7" s="10" t="s">
        <v>10</v>
      </c>
      <c r="U7" s="10" t="s">
        <v>11</v>
      </c>
      <c r="V7" s="10" t="s">
        <v>10</v>
      </c>
      <c r="W7" s="10" t="s">
        <v>11</v>
      </c>
      <c r="X7" s="10" t="s">
        <v>10</v>
      </c>
      <c r="Y7" s="10" t="s">
        <v>11</v>
      </c>
      <c r="Z7" s="10" t="s">
        <v>10</v>
      </c>
      <c r="AA7" s="10" t="s">
        <v>11</v>
      </c>
      <c r="AB7" s="10" t="s">
        <v>10</v>
      </c>
      <c r="AC7" s="10" t="s">
        <v>11</v>
      </c>
      <c r="AD7" s="10" t="s">
        <v>10</v>
      </c>
      <c r="AE7" s="10" t="s">
        <v>11</v>
      </c>
      <c r="AF7" s="10"/>
      <c r="AG7" s="10"/>
      <c r="AH7" s="10"/>
    </row>
    <row r="8" ht="28" customHeight="1" spans="1:34">
      <c r="A8" s="11" t="s">
        <v>12</v>
      </c>
      <c r="B8" s="12" t="s">
        <v>13</v>
      </c>
      <c r="C8" s="13">
        <v>46279</v>
      </c>
      <c r="D8" s="13">
        <v>46282</v>
      </c>
      <c r="E8" s="13">
        <v>46286</v>
      </c>
      <c r="F8" s="13">
        <v>46289</v>
      </c>
      <c r="G8" s="13">
        <v>46293</v>
      </c>
      <c r="H8" s="13">
        <v>46296</v>
      </c>
      <c r="I8" s="13">
        <v>46303</v>
      </c>
      <c r="J8" s="13">
        <v>46307</v>
      </c>
      <c r="K8" s="13">
        <v>46310</v>
      </c>
      <c r="L8" s="13">
        <v>46314</v>
      </c>
      <c r="M8" s="13">
        <v>46317</v>
      </c>
      <c r="N8" s="13">
        <v>46321</v>
      </c>
      <c r="O8" s="13">
        <v>46324</v>
      </c>
      <c r="P8" s="13">
        <v>46328</v>
      </c>
      <c r="Q8" s="13">
        <v>46331</v>
      </c>
      <c r="R8" s="13">
        <v>46335</v>
      </c>
      <c r="S8" s="13">
        <v>46338</v>
      </c>
      <c r="T8" s="13">
        <v>46342</v>
      </c>
      <c r="U8" s="13">
        <v>46345</v>
      </c>
      <c r="V8" s="13">
        <v>46349</v>
      </c>
      <c r="W8" s="13">
        <v>46352</v>
      </c>
      <c r="X8" s="13">
        <v>46356</v>
      </c>
      <c r="Y8" s="13">
        <v>46359</v>
      </c>
      <c r="Z8" s="13">
        <v>46363</v>
      </c>
      <c r="AA8" s="13">
        <v>46366</v>
      </c>
      <c r="AB8" s="13">
        <v>46370</v>
      </c>
      <c r="AC8" s="13">
        <v>46373</v>
      </c>
      <c r="AD8" s="13">
        <v>46391</v>
      </c>
      <c r="AE8" s="13">
        <v>46394</v>
      </c>
      <c r="AF8" s="14" t="s">
        <v>14</v>
      </c>
      <c r="AG8" s="14" t="s">
        <v>15</v>
      </c>
      <c r="AH8" s="15" t="s">
        <v>16</v>
      </c>
    </row>
    <row r="9" ht="28" customHeight="1" spans="1:34">
      <c r="A9" s="16" t="s">
        <v>17</v>
      </c>
      <c r="B9" s="17" t="s">
        <v>18</v>
      </c>
      <c r="C9" s="18" t="s">
        <v>19</v>
      </c>
      <c r="D9" s="19" t="s">
        <v>19</v>
      </c>
      <c r="E9" s="19"/>
      <c r="F9" s="19"/>
      <c r="G9" s="19" t="s">
        <v>19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/>
      <c r="AF9" s="21">
        <f t="shared" ref="AF9:AF26" si="0">COUNTIF(C9:AE9,"P")</f>
        <v>0</v>
      </c>
      <c r="AG9" s="22">
        <f t="shared" ref="AG9:AG26" si="1">COUNTIF(C9:AE9,"F")</f>
        <v>0</v>
      </c>
      <c r="AH9" s="23">
        <f t="shared" ref="AH9:AH26" si="2">COUNTIF(C9:AE9,"J")</f>
        <v>0</v>
      </c>
    </row>
    <row r="10" ht="28" customHeight="1" spans="1:34">
      <c r="A10" s="24" t="s">
        <v>20</v>
      </c>
      <c r="B10" s="25" t="s">
        <v>21</v>
      </c>
      <c r="C10" s="26" t="s">
        <v>19</v>
      </c>
      <c r="D10" s="19" t="s">
        <v>19</v>
      </c>
      <c r="E10" s="27" t="s">
        <v>19</v>
      </c>
      <c r="F10" s="27" t="s">
        <v>19</v>
      </c>
      <c r="G10" s="27" t="s">
        <v>19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f t="shared" si="0"/>
        <v>0</v>
      </c>
      <c r="AG10" s="30">
        <f t="shared" si="1"/>
        <v>0</v>
      </c>
      <c r="AH10" s="31">
        <f t="shared" si="2"/>
        <v>0</v>
      </c>
    </row>
    <row r="11" ht="28" customHeight="1" spans="1:34">
      <c r="A11" s="32" t="s">
        <v>22</v>
      </c>
      <c r="B11" s="33" t="s">
        <v>23</v>
      </c>
      <c r="C11" s="18" t="s">
        <v>19</v>
      </c>
      <c r="D11" s="19" t="s">
        <v>19</v>
      </c>
      <c r="E11" s="27"/>
      <c r="F11" s="27"/>
      <c r="G11" s="27" t="s">
        <v>19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f t="shared" si="0"/>
        <v>0</v>
      </c>
      <c r="AG11" s="30">
        <f t="shared" si="1"/>
        <v>0</v>
      </c>
      <c r="AH11" s="31">
        <f t="shared" si="2"/>
        <v>0</v>
      </c>
    </row>
    <row r="12" ht="28" customHeight="1" spans="1:34">
      <c r="A12" s="24" t="s">
        <v>24</v>
      </c>
      <c r="B12" s="25" t="s">
        <v>25</v>
      </c>
      <c r="C12" s="26" t="s">
        <v>19</v>
      </c>
      <c r="D12" s="19" t="s">
        <v>19</v>
      </c>
      <c r="E12" s="27" t="s">
        <v>19</v>
      </c>
      <c r="F12" s="27" t="s">
        <v>19</v>
      </c>
      <c r="G12" s="27" t="s">
        <v>19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f t="shared" si="0"/>
        <v>0</v>
      </c>
      <c r="AG12" s="30">
        <f t="shared" si="1"/>
        <v>0</v>
      </c>
      <c r="AH12" s="31">
        <f t="shared" si="2"/>
        <v>0</v>
      </c>
    </row>
    <row r="13" ht="28" customHeight="1" spans="1:34">
      <c r="A13" s="32" t="s">
        <v>26</v>
      </c>
      <c r="B13" s="33" t="s">
        <v>27</v>
      </c>
      <c r="C13" s="18" t="s">
        <v>19</v>
      </c>
      <c r="D13" s="19" t="s">
        <v>19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29">
        <f t="shared" si="0"/>
        <v>0</v>
      </c>
      <c r="AG13" s="30">
        <f t="shared" si="1"/>
        <v>0</v>
      </c>
      <c r="AH13" s="31">
        <f t="shared" si="2"/>
        <v>0</v>
      </c>
    </row>
    <row r="14" ht="28" customHeight="1" spans="1:34">
      <c r="A14" s="24" t="s">
        <v>28</v>
      </c>
      <c r="B14" s="25" t="s">
        <v>29</v>
      </c>
      <c r="C14" s="26" t="s">
        <v>19</v>
      </c>
      <c r="D14" s="19" t="s">
        <v>19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29">
        <f t="shared" si="0"/>
        <v>0</v>
      </c>
      <c r="AG14" s="30">
        <f t="shared" si="1"/>
        <v>0</v>
      </c>
      <c r="AH14" s="31">
        <f t="shared" si="2"/>
        <v>0</v>
      </c>
    </row>
    <row r="15" ht="28" customHeight="1" spans="1:34">
      <c r="A15" s="32" t="s">
        <v>30</v>
      </c>
      <c r="B15" s="33" t="s">
        <v>31</v>
      </c>
      <c r="C15" s="18" t="s">
        <v>19</v>
      </c>
      <c r="D15" s="19" t="s">
        <v>19</v>
      </c>
      <c r="E15" s="27" t="s">
        <v>19</v>
      </c>
      <c r="F15" s="27" t="s">
        <v>19</v>
      </c>
      <c r="G15" s="27" t="s">
        <v>19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9">
        <f t="shared" si="0"/>
        <v>0</v>
      </c>
      <c r="AG15" s="30">
        <f t="shared" si="1"/>
        <v>0</v>
      </c>
      <c r="AH15" s="31">
        <f t="shared" si="2"/>
        <v>0</v>
      </c>
    </row>
    <row r="16" ht="28" customHeight="1" spans="1:34">
      <c r="A16" s="24" t="s">
        <v>32</v>
      </c>
      <c r="B16" s="25" t="s">
        <v>33</v>
      </c>
      <c r="C16" s="26" t="s">
        <v>19</v>
      </c>
      <c r="D16" s="19" t="s">
        <v>19</v>
      </c>
      <c r="E16" s="27" t="s">
        <v>19</v>
      </c>
      <c r="F16" s="27" t="s">
        <v>19</v>
      </c>
      <c r="G16" s="27" t="s">
        <v>19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29">
        <f t="shared" si="0"/>
        <v>0</v>
      </c>
      <c r="AG16" s="30">
        <f t="shared" si="1"/>
        <v>0</v>
      </c>
      <c r="AH16" s="31">
        <f t="shared" si="2"/>
        <v>0</v>
      </c>
    </row>
    <row r="17" ht="28" customHeight="1" spans="1:34">
      <c r="A17" s="32" t="s">
        <v>34</v>
      </c>
      <c r="B17" s="33" t="s">
        <v>35</v>
      </c>
      <c r="C17" s="18" t="s">
        <v>19</v>
      </c>
      <c r="D17" s="19" t="s">
        <v>19</v>
      </c>
      <c r="E17" s="27" t="s">
        <v>19</v>
      </c>
      <c r="F17" s="27" t="s">
        <v>19</v>
      </c>
      <c r="G17" s="27" t="s">
        <v>19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29">
        <f t="shared" si="0"/>
        <v>0</v>
      </c>
      <c r="AG17" s="30">
        <f t="shared" si="1"/>
        <v>0</v>
      </c>
      <c r="AH17" s="31">
        <f t="shared" si="2"/>
        <v>0</v>
      </c>
    </row>
    <row r="18" ht="28" customHeight="1" spans="1:34">
      <c r="A18" s="24" t="s">
        <v>36</v>
      </c>
      <c r="B18" s="25" t="s">
        <v>37</v>
      </c>
      <c r="C18" s="26" t="s">
        <v>19</v>
      </c>
      <c r="D18" s="19" t="s">
        <v>19</v>
      </c>
      <c r="E18" s="27" t="s">
        <v>19</v>
      </c>
      <c r="F18" s="27" t="s">
        <v>19</v>
      </c>
      <c r="G18" s="27" t="s">
        <v>19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8"/>
      <c r="AF18" s="29">
        <f t="shared" si="0"/>
        <v>0</v>
      </c>
      <c r="AG18" s="30">
        <f t="shared" si="1"/>
        <v>0</v>
      </c>
      <c r="AH18" s="31">
        <f t="shared" si="2"/>
        <v>0</v>
      </c>
    </row>
    <row r="19" ht="28" customHeight="1" spans="1:34">
      <c r="A19" s="32" t="s">
        <v>38</v>
      </c>
      <c r="B19" s="33" t="s">
        <v>39</v>
      </c>
      <c r="C19" s="18" t="s">
        <v>19</v>
      </c>
      <c r="D19" s="19" t="s">
        <v>19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8"/>
      <c r="AF19" s="29">
        <f t="shared" si="0"/>
        <v>0</v>
      </c>
      <c r="AG19" s="30">
        <f t="shared" si="1"/>
        <v>0</v>
      </c>
      <c r="AH19" s="31">
        <f t="shared" si="2"/>
        <v>0</v>
      </c>
    </row>
    <row r="20" ht="28" customHeight="1" spans="1:34">
      <c r="A20" s="24" t="s">
        <v>40</v>
      </c>
      <c r="B20" s="25" t="s">
        <v>41</v>
      </c>
      <c r="C20" s="26" t="s">
        <v>19</v>
      </c>
      <c r="D20" s="19" t="s">
        <v>19</v>
      </c>
      <c r="E20" s="27" t="s">
        <v>19</v>
      </c>
      <c r="F20" s="27" t="s">
        <v>19</v>
      </c>
      <c r="G20" s="27" t="s">
        <v>19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8"/>
      <c r="AF20" s="29">
        <f t="shared" si="0"/>
        <v>0</v>
      </c>
      <c r="AG20" s="30">
        <f t="shared" si="1"/>
        <v>0</v>
      </c>
      <c r="AH20" s="31">
        <f t="shared" si="2"/>
        <v>0</v>
      </c>
    </row>
    <row r="21" ht="28" customHeight="1" spans="1:34">
      <c r="A21" s="32" t="s">
        <v>42</v>
      </c>
      <c r="B21" s="33" t="s">
        <v>43</v>
      </c>
      <c r="C21" s="18" t="s">
        <v>19</v>
      </c>
      <c r="D21" s="19" t="s">
        <v>19</v>
      </c>
      <c r="E21" s="27" t="s">
        <v>19</v>
      </c>
      <c r="F21" s="27" t="s">
        <v>19</v>
      </c>
      <c r="G21" s="27" t="s">
        <v>19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8"/>
      <c r="AF21" s="29">
        <f t="shared" si="0"/>
        <v>0</v>
      </c>
      <c r="AG21" s="30">
        <f t="shared" si="1"/>
        <v>0</v>
      </c>
      <c r="AH21" s="31">
        <f t="shared" si="2"/>
        <v>0</v>
      </c>
    </row>
    <row r="22" ht="28" customHeight="1" spans="1:34">
      <c r="A22" s="24" t="s">
        <v>44</v>
      </c>
      <c r="B22" s="25" t="s">
        <v>45</v>
      </c>
      <c r="C22" s="26" t="s">
        <v>19</v>
      </c>
      <c r="D22" s="19" t="s">
        <v>19</v>
      </c>
      <c r="E22" s="27" t="s">
        <v>19</v>
      </c>
      <c r="F22" s="27" t="s">
        <v>19</v>
      </c>
      <c r="G22" s="27" t="s">
        <v>19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8"/>
      <c r="AF22" s="29">
        <f t="shared" si="0"/>
        <v>0</v>
      </c>
      <c r="AG22" s="30">
        <f t="shared" si="1"/>
        <v>0</v>
      </c>
      <c r="AH22" s="31">
        <f t="shared" si="2"/>
        <v>0</v>
      </c>
    </row>
    <row r="23" ht="28" customHeight="1" spans="1:34">
      <c r="A23" s="32" t="s">
        <v>46</v>
      </c>
      <c r="B23" s="33" t="s">
        <v>47</v>
      </c>
      <c r="C23" s="18" t="s">
        <v>19</v>
      </c>
      <c r="D23" s="19" t="s">
        <v>19</v>
      </c>
      <c r="E23" s="27" t="s">
        <v>19</v>
      </c>
      <c r="F23" s="27"/>
      <c r="G23" s="27" t="s">
        <v>19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8"/>
      <c r="AF23" s="29">
        <f t="shared" si="0"/>
        <v>0</v>
      </c>
      <c r="AG23" s="30">
        <f t="shared" si="1"/>
        <v>0</v>
      </c>
      <c r="AH23" s="31">
        <f t="shared" si="2"/>
        <v>0</v>
      </c>
    </row>
    <row r="24" ht="28" customHeight="1" spans="1:34">
      <c r="A24" s="24" t="s">
        <v>48</v>
      </c>
      <c r="B24" s="25" t="s">
        <v>49</v>
      </c>
      <c r="C24" s="26" t="s">
        <v>19</v>
      </c>
      <c r="D24" s="19" t="s">
        <v>19</v>
      </c>
      <c r="E24" s="27" t="s">
        <v>19</v>
      </c>
      <c r="F24" s="27" t="s">
        <v>19</v>
      </c>
      <c r="G24" s="27" t="s">
        <v>19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8"/>
      <c r="AF24" s="29">
        <f t="shared" si="0"/>
        <v>0</v>
      </c>
      <c r="AG24" s="30">
        <f t="shared" si="1"/>
        <v>0</v>
      </c>
      <c r="AH24" s="31">
        <f t="shared" si="2"/>
        <v>0</v>
      </c>
    </row>
    <row r="25" ht="28" customHeight="1" spans="1:34">
      <c r="A25" s="32" t="s">
        <v>50</v>
      </c>
      <c r="B25" s="33" t="s">
        <v>51</v>
      </c>
      <c r="C25" s="18" t="s">
        <v>19</v>
      </c>
      <c r="D25" s="19" t="s">
        <v>19</v>
      </c>
      <c r="E25" s="27" t="s">
        <v>19</v>
      </c>
      <c r="F25" s="27" t="s">
        <v>19</v>
      </c>
      <c r="G25" s="27" t="s">
        <v>19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8"/>
      <c r="AF25" s="29">
        <f t="shared" si="0"/>
        <v>0</v>
      </c>
      <c r="AG25" s="30">
        <f t="shared" si="1"/>
        <v>0</v>
      </c>
      <c r="AH25" s="31">
        <f t="shared" si="2"/>
        <v>0</v>
      </c>
    </row>
    <row r="26" ht="28" customHeight="1" spans="1:34">
      <c r="A26" s="34" t="s">
        <v>52</v>
      </c>
      <c r="B26" s="35" t="s">
        <v>53</v>
      </c>
      <c r="C26" s="26" t="s">
        <v>19</v>
      </c>
      <c r="D26" s="19" t="s">
        <v>19</v>
      </c>
      <c r="E26" s="36" t="s">
        <v>19</v>
      </c>
      <c r="F26" s="36" t="s">
        <v>19</v>
      </c>
      <c r="G26" s="36" t="s">
        <v>19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7"/>
      <c r="AF26" s="38">
        <f t="shared" si="0"/>
        <v>0</v>
      </c>
      <c r="AG26" s="39">
        <f t="shared" si="1"/>
        <v>0</v>
      </c>
      <c r="AH26" s="40">
        <f t="shared" si="2"/>
        <v>0</v>
      </c>
    </row>
    <row r="27" ht="9" customHeight="1" spans="1:3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26" customHeight="1" spans="1:34">
      <c r="A28" s="41"/>
      <c r="B28" s="41" t="s">
        <v>54</v>
      </c>
      <c r="C28" s="42">
        <f>COUNTIF(C9:C26,"X")+COUNTIF(C9:C26,"F")+COUNTIF(C9:C26,"J")</f>
        <v>18</v>
      </c>
      <c r="D28" s="42">
        <f t="shared" ref="D28:AH28" si="3">COUNTIF(D9:D26,"X")+COUNTIF(D9:D26,"F")+COUNTIF(D9:D26,"J")</f>
        <v>18</v>
      </c>
      <c r="E28" s="42">
        <f t="shared" si="3"/>
        <v>13</v>
      </c>
      <c r="F28" s="42">
        <f t="shared" si="3"/>
        <v>12</v>
      </c>
      <c r="G28" s="42">
        <f t="shared" si="3"/>
        <v>15</v>
      </c>
      <c r="H28" s="42">
        <f t="shared" si="3"/>
        <v>0</v>
      </c>
      <c r="I28" s="42">
        <f t="shared" si="3"/>
        <v>0</v>
      </c>
      <c r="J28" s="42">
        <f t="shared" si="3"/>
        <v>0</v>
      </c>
      <c r="K28" s="42">
        <f t="shared" si="3"/>
        <v>0</v>
      </c>
      <c r="L28" s="42">
        <f t="shared" si="3"/>
        <v>0</v>
      </c>
      <c r="M28" s="42">
        <f t="shared" si="3"/>
        <v>0</v>
      </c>
      <c r="N28" s="42">
        <f t="shared" si="3"/>
        <v>0</v>
      </c>
      <c r="O28" s="42">
        <f t="shared" si="3"/>
        <v>0</v>
      </c>
      <c r="P28" s="42">
        <f t="shared" si="3"/>
        <v>0</v>
      </c>
      <c r="Q28" s="42">
        <f t="shared" si="3"/>
        <v>0</v>
      </c>
      <c r="R28" s="42">
        <f t="shared" si="3"/>
        <v>0</v>
      </c>
      <c r="S28" s="42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</row>
    <row r="29" ht="12" customHeight="1" spans="1:3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20" customHeight="1" spans="1:34">
      <c r="A30" s="43" t="s">
        <v>55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20" customHeight="1" spans="1:34">
      <c r="A31" s="44" t="s">
        <v>56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20" customHeight="1" spans="1:34">
      <c r="A32" s="45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</sheetData>
  <conditionalFormatting sqref="C9:AE26">
    <cfRule type="expression" dxfId="0" priority="1">
      <formula>C9="P"</formula>
    </cfRule>
    <cfRule type="expression" dxfId="1" priority="2">
      <formula>C9="F"</formula>
    </cfRule>
    <cfRule type="expression" dxfId="2" priority="3">
      <formula>C9="J"</formula>
    </cfRule>
  </conditionalFormatting>
  <dataValidations count="1">
    <dataValidation type="list" sqref="C9:AE26">
      <formula1>"P,F,J"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Cunha</cp:lastModifiedBy>
  <dcterms:created xsi:type="dcterms:W3CDTF">2026-09-24T15:05:00Z</dcterms:created>
  <dcterms:modified xsi:type="dcterms:W3CDTF">2026-09-28T14:57:08Z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2A4284C891834BDB936775FAF1008A32_13</vt:lpwstr>
  </property>
  <property fmtid="{D5CDD505-2E9C-101B-9397-08002B2CF9AE}" pid="3" name="KSOProductBuildVer">
    <vt:lpwstr>2070-12.1.0.28485</vt:lpwstr>
  </property>
  <property fmtid="{D5CDD505-2E9C-101B-9397-08002B2CF9AE}" pid="4" name="CalculationRule">
    <vt:i4>0</vt:i4>
  </property>
</Properties>
</file>