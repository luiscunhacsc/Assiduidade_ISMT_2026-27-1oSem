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<sst xmlns="http://schemas.openxmlformats.org/spreadsheetml/2006/main" count="273" uniqueCount="61">
  <si>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</si>
  <si>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</si>
  <si>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</si>
  <si>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</si>
  <si>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</si>
  <si>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</si>
  <si>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</si>
  <si>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</si>
  <si>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</si>
  <si>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</si>
  <si>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</si>
  <si>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</si>
  <si>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</si>
  <si>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</si>
  <si>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</si>
  <si>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</si>
  <si>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</si>
  <si>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</si>
  <si>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</si>
  <si>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</si>
  <si>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</si>
  <si>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</si>
  <si>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</si>
  <si>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</si>
  <si>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</si>
  <si>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</si>
  <si>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</si>
  <si>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</si>
  <si>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</si>
  <si>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</si>
  <si>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</si>
  <si>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</si>
  <si>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</si>
  <si>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</si>
  <si>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</si>
  <si>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</si>
  <si>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</si>
  <si>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</si>
  <si>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</si>
  <si>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</si>
  <si>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</si>
  <si>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</si>
  <si>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</si>
  <si>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</si>
  <si>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</si>
  <si>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</si>
  <si>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</si>
  <si>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</si>
  <si>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</si>
  <si>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</si>
  <si>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</si>
  <si>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</si>
  <si>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</si>
  <si>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</si>
  <si>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Rui Mário José Calado Pires</t>
  </si>
  <si>
    <t>Diogo Miguel Botellero Rodrigues</t>
  </si>
  <si>
    <t>Fernando André Iglésias da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</si>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</sst>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0" borderId="26" applyNumberFormat="0" applyFill="0" applyAlignment="0" applyProtection="0">
      <alignment vertical="center"/>
    </xf>
    <xf numFmtId="0" fontId="20" fillId="0" borderId="2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8" applyNumberFormat="0" applyAlignment="0" applyProtection="0">
      <alignment vertical="center"/>
    </xf>
    <xf numFmtId="0" fontId="22" fillId="11" borderId="29" applyNumberFormat="0" applyAlignment="0" applyProtection="0">
      <alignment vertical="center"/>
    </xf>
    <xf numFmtId="0" fontId="23" fillId="11" borderId="28" applyNumberFormat="0" applyAlignment="0" applyProtection="0">
      <alignment vertical="center"/>
    </xf>
    <xf numFmtId="0" fontId="24" fillId="12" borderId="30" applyNumberFormat="0" applyAlignment="0" applyProtection="0">
      <alignment vertical="center"/>
    </xf>
    <xf numFmtId="0" fontId="25" fillId="0" borderId="31" applyNumberFormat="0" applyFill="0" applyAlignment="0" applyProtection="0">
      <alignment vertical="center"/>
    </xf>
    <xf numFmtId="0" fontId="26" fillId="0" borderId="32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8" fillId="6" borderId="19" xfId="0" applyNumberFormat="1" applyFont="1" applyFill="1" applyBorder="1" applyAlignment="1">
      <alignment horizontal="center" vertical="center"/>
    </xf>
    <xf numFmtId="0" fontId="8" fillId="6" borderId="20" xfId="0" applyNumberFormat="1" applyFont="1" applyFill="1" applyBorder="1" applyAlignment="1">
      <alignment horizontal="center" vertical="center"/>
    </xf>
    <xf numFmtId="0" fontId="9" fillId="7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8" borderId="24" xfId="0" applyNumberFormat="1" applyFont="1" applyFill="1" applyBorder="1" applyAlignment="1">
      <alignment vertical="center"/>
    </xf>
    <xf numFmtId="0" fontId="9" fillId="8" borderId="24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6"/>
  <sheetViews>
    <sheetView showGridLines="0" tabSelected="1" zoomScale="82" zoomScaleNormal="82" workbookViewId="0">
      <pane xSplit="2" ySplit="8" topLeftCell="C9" activePane="bottomRight" state="frozen"/>
      <selection/>
      <selection pane="topRight"/>
      <selection pane="bottomLeft"/>
      <selection pane="bottomRight" activeCell="B8" sqref="B8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 t="s">
        <v>19</v>
      </c>
      <c r="K9" s="19" t="s">
        <v>19</v>
      </c>
      <c r="L9" s="19" t="s">
        <v>19</v>
      </c>
      <c r="M9" s="19" t="s">
        <v>19</v>
      </c>
      <c r="N9" s="19" t="s">
        <v>19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 t="s">
        <v>19</v>
      </c>
      <c r="K10" s="27" t="s">
        <v>19</v>
      </c>
      <c r="L10" s="27"/>
      <c r="M10" s="27" t="s">
        <v>19</v>
      </c>
      <c r="N10" s="27" t="s">
        <v>19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16" t="s">
        <v>22</v>
      </c>
      <c r="B11" s="17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 t="s">
        <v>19</v>
      </c>
      <c r="J11" s="27" t="s">
        <v>19</v>
      </c>
      <c r="K11" s="27" t="s">
        <v>19</v>
      </c>
      <c r="L11" s="27" t="s">
        <v>19</v>
      </c>
      <c r="M11" s="27" t="s">
        <v>19</v>
      </c>
      <c r="N11" s="27" t="s">
        <v>19</v>
      </c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 t="s">
        <v>19</v>
      </c>
      <c r="K12" s="27" t="s">
        <v>19</v>
      </c>
      <c r="L12" s="27" t="s">
        <v>19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16" t="s">
        <v>26</v>
      </c>
      <c r="B13" s="17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16" t="s">
        <v>30</v>
      </c>
      <c r="B15" s="17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 t="s">
        <v>19</v>
      </c>
      <c r="J15" s="27" t="s">
        <v>19</v>
      </c>
      <c r="K15" s="27" t="s">
        <v>19</v>
      </c>
      <c r="L15" s="27" t="s">
        <v>19</v>
      </c>
      <c r="M15" s="27" t="s">
        <v>19</v>
      </c>
      <c r="N15" s="27" t="s">
        <v>19</v>
      </c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 t="s">
        <v>19</v>
      </c>
      <c r="K16" s="27"/>
      <c r="L16" s="27"/>
      <c r="M16" s="27" t="s">
        <v>19</v>
      </c>
      <c r="N16" s="27" t="s">
        <v>19</v>
      </c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16" t="s">
        <v>34</v>
      </c>
      <c r="B17" s="17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 t="s">
        <v>19</v>
      </c>
      <c r="J17" s="27" t="s">
        <v>19</v>
      </c>
      <c r="K17" s="27" t="s">
        <v>19</v>
      </c>
      <c r="L17" s="27"/>
      <c r="M17" s="27" t="s">
        <v>19</v>
      </c>
      <c r="N17" s="27" t="s">
        <v>19</v>
      </c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 t="s">
        <v>19</v>
      </c>
      <c r="K18" s="27" t="s">
        <v>19</v>
      </c>
      <c r="L18" s="27" t="s">
        <v>19</v>
      </c>
      <c r="M18" s="27"/>
      <c r="N18" s="27" t="s">
        <v>19</v>
      </c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16" t="s">
        <v>38</v>
      </c>
      <c r="B19" s="17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16" t="s">
        <v>42</v>
      </c>
      <c r="B21" s="17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 t="s">
        <v>19</v>
      </c>
      <c r="J21" s="27" t="s">
        <v>19</v>
      </c>
      <c r="K21" s="27" t="s">
        <v>19</v>
      </c>
      <c r="L21" s="27"/>
      <c r="M21" s="27" t="s">
        <v>19</v>
      </c>
      <c r="N21" s="27" t="s">
        <v>19</v>
      </c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 t="s">
        <v>19</v>
      </c>
      <c r="K22" s="27" t="s">
        <v>19</v>
      </c>
      <c r="L22" s="27" t="s">
        <v>19</v>
      </c>
      <c r="M22" s="27" t="s">
        <v>19</v>
      </c>
      <c r="N22" s="27" t="s">
        <v>19</v>
      </c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16" t="s">
        <v>46</v>
      </c>
      <c r="B23" s="17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 t="s">
        <v>19</v>
      </c>
      <c r="K24" s="27" t="s">
        <v>19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16" t="s">
        <v>50</v>
      </c>
      <c r="B25" s="17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 t="s">
        <v>19</v>
      </c>
      <c r="J25" s="27" t="s">
        <v>19</v>
      </c>
      <c r="K25" s="27" t="s">
        <v>19</v>
      </c>
      <c r="L25" s="27" t="s">
        <v>19</v>
      </c>
      <c r="M25" s="27" t="s">
        <v>19</v>
      </c>
      <c r="N25" s="27" t="s">
        <v>19</v>
      </c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24" t="s">
        <v>52</v>
      </c>
      <c r="B26" s="25" t="s">
        <v>53</v>
      </c>
      <c r="C26" s="26" t="s">
        <v>19</v>
      </c>
      <c r="D26" s="19" t="s">
        <v>19</v>
      </c>
      <c r="E26" s="32" t="s">
        <v>19</v>
      </c>
      <c r="F26" s="32" t="s">
        <v>19</v>
      </c>
      <c r="G26" s="32" t="s">
        <v>19</v>
      </c>
      <c r="H26" s="32" t="s">
        <v>19</v>
      </c>
      <c r="I26" s="32" t="s">
        <v>19</v>
      </c>
      <c r="J26" s="32" t="s">
        <v>19</v>
      </c>
      <c r="K26" s="32" t="s">
        <v>19</v>
      </c>
      <c r="L26" s="32"/>
      <c r="M26" s="32" t="s">
        <v>19</v>
      </c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3"/>
      <c r="AF26" s="34">
        <f t="shared" si="0"/>
        <v>0</v>
      </c>
      <c r="AG26" s="35">
        <f t="shared" si="1"/>
        <v>0</v>
      </c>
      <c r="AH26" s="36">
        <f t="shared" si="2"/>
        <v>0</v>
      </c>
    </row>
    <row r="27" customHeight="1" spans="1:34">
      <c r="A27" s="24">
        <v>889221</v>
      </c>
      <c r="B27" s="25" t="s">
        <v>54</v>
      </c>
      <c r="C27" s="26" t="s">
        <v>19</v>
      </c>
      <c r="D27" s="19" t="s">
        <v>19</v>
      </c>
      <c r="E27" s="32" t="s">
        <v>19</v>
      </c>
      <c r="F27" s="32" t="s">
        <v>19</v>
      </c>
      <c r="G27" s="32" t="s">
        <v>19</v>
      </c>
      <c r="H27" s="32" t="s">
        <v>19</v>
      </c>
      <c r="I27" s="32" t="s">
        <v>19</v>
      </c>
      <c r="J27" s="32" t="s">
        <v>19</v>
      </c>
      <c r="K27" s="32" t="s">
        <v>19</v>
      </c>
      <c r="L27" s="32" t="s">
        <v>19</v>
      </c>
      <c r="M27" s="27" t="s">
        <v>19</v>
      </c>
      <c r="N27" s="27" t="s">
        <v>19</v>
      </c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1"/>
      <c r="AG27" s="1"/>
      <c r="AH27" s="1"/>
    </row>
    <row r="28" ht="19" customHeight="1" spans="1:34">
      <c r="A28" s="16">
        <v>13907</v>
      </c>
      <c r="B28" s="17" t="s">
        <v>55</v>
      </c>
      <c r="C28" s="26" t="s">
        <v>19</v>
      </c>
      <c r="D28" s="19" t="s">
        <v>19</v>
      </c>
      <c r="E28" s="32" t="s">
        <v>19</v>
      </c>
      <c r="F28" s="32" t="s">
        <v>19</v>
      </c>
      <c r="G28" s="32" t="s">
        <v>19</v>
      </c>
      <c r="H28" s="32" t="s">
        <v>19</v>
      </c>
      <c r="I28" s="32" t="s">
        <v>19</v>
      </c>
      <c r="J28" s="32" t="s">
        <v>19</v>
      </c>
      <c r="K28" s="32" t="s">
        <v>19</v>
      </c>
      <c r="L28" s="32" t="s">
        <v>19</v>
      </c>
      <c r="M28" s="32" t="s">
        <v>19</v>
      </c>
      <c r="N28" s="32" t="s">
        <v>19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1"/>
      <c r="AG28" s="1"/>
      <c r="AH28" s="1"/>
    </row>
    <row r="29" ht="21" customHeight="1" spans="1:34">
      <c r="A29" s="24">
        <v>13906</v>
      </c>
      <c r="B29" s="25" t="s">
        <v>56</v>
      </c>
      <c r="C29" s="26" t="s">
        <v>19</v>
      </c>
      <c r="D29" s="19" t="s">
        <v>19</v>
      </c>
      <c r="E29" s="32" t="s">
        <v>19</v>
      </c>
      <c r="F29" s="32" t="s">
        <v>19</v>
      </c>
      <c r="G29" s="32" t="s">
        <v>19</v>
      </c>
      <c r="H29" s="32" t="s">
        <v>19</v>
      </c>
      <c r="I29" s="32" t="s">
        <v>19</v>
      </c>
      <c r="J29" s="32" t="s">
        <v>19</v>
      </c>
      <c r="K29" s="32" t="s">
        <v>19</v>
      </c>
      <c r="L29" s="32" t="s">
        <v>19</v>
      </c>
      <c r="M29" s="27"/>
      <c r="N29" s="27" t="s">
        <v>19</v>
      </c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1"/>
      <c r="AG29" s="1"/>
      <c r="AH29" s="1"/>
    </row>
    <row r="30" ht="26" customHeight="1" spans="1:34">
      <c r="A30" s="37"/>
      <c r="B30" s="37" t="s">
        <v>57</v>
      </c>
      <c r="C30" s="38">
        <f>COUNTIF(C9:C29,"X")+COUNTIF(C9:C29,"F")+COUNTIF(C9:C29,"J")</f>
        <v>21</v>
      </c>
      <c r="D30" s="38">
        <f t="shared" ref="D30:AH30" si="3">COUNTIF(D9:D29,"X")+COUNTIF(D9:D29,"F")+COUNTIF(D9:D29,"J")</f>
        <v>21</v>
      </c>
      <c r="E30" s="38">
        <f t="shared" si="3"/>
        <v>16</v>
      </c>
      <c r="F30" s="38">
        <f t="shared" si="3"/>
        <v>15</v>
      </c>
      <c r="G30" s="38">
        <f t="shared" si="3"/>
        <v>18</v>
      </c>
      <c r="H30" s="38">
        <f t="shared" si="3"/>
        <v>14</v>
      </c>
      <c r="I30" s="38">
        <f t="shared" si="3"/>
        <v>15</v>
      </c>
      <c r="J30" s="38">
        <f t="shared" si="3"/>
        <v>16</v>
      </c>
      <c r="K30" s="38">
        <f t="shared" si="3"/>
        <v>15</v>
      </c>
      <c r="L30" s="38">
        <f t="shared" si="3"/>
        <v>10</v>
      </c>
      <c r="M30" s="38">
        <f t="shared" si="3"/>
        <v>12</v>
      </c>
      <c r="N30" s="38">
        <f t="shared" si="3"/>
        <v>13</v>
      </c>
      <c r="O30" s="38">
        <f t="shared" si="3"/>
        <v>0</v>
      </c>
      <c r="P30" s="38">
        <f t="shared" si="3"/>
        <v>0</v>
      </c>
      <c r="Q30" s="38">
        <f t="shared" si="3"/>
        <v>0</v>
      </c>
      <c r="R30" s="38">
        <f t="shared" si="3"/>
        <v>0</v>
      </c>
      <c r="S30" s="38">
        <f t="shared" si="3"/>
        <v>0</v>
      </c>
      <c r="T30" s="38">
        <f t="shared" si="3"/>
        <v>0</v>
      </c>
      <c r="U30" s="38">
        <f t="shared" si="3"/>
        <v>0</v>
      </c>
      <c r="V30" s="38">
        <f t="shared" si="3"/>
        <v>0</v>
      </c>
      <c r="W30" s="38">
        <f t="shared" si="3"/>
        <v>0</v>
      </c>
      <c r="X30" s="38">
        <f t="shared" si="3"/>
        <v>0</v>
      </c>
      <c r="Y30" s="38">
        <f t="shared" si="3"/>
        <v>0</v>
      </c>
      <c r="Z30" s="38">
        <f t="shared" si="3"/>
        <v>0</v>
      </c>
      <c r="AA30" s="38">
        <f t="shared" si="3"/>
        <v>0</v>
      </c>
      <c r="AB30" s="38">
        <f t="shared" si="3"/>
        <v>0</v>
      </c>
      <c r="AC30" s="38">
        <f t="shared" si="3"/>
        <v>0</v>
      </c>
      <c r="AD30" s="38">
        <f t="shared" si="3"/>
        <v>0</v>
      </c>
      <c r="AE30" s="38">
        <f t="shared" si="3"/>
        <v>0</v>
      </c>
      <c r="AF30" s="38">
        <f t="shared" si="3"/>
        <v>0</v>
      </c>
      <c r="AG30" s="38">
        <f t="shared" si="3"/>
        <v>0</v>
      </c>
      <c r="AH30" s="38">
        <f t="shared" si="3"/>
        <v>0</v>
      </c>
    </row>
    <row r="31" ht="12" customHeight="1" spans="1:3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39" t="s">
        <v>58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ht="20" customHeight="1" spans="1:34">
      <c r="A33" s="40" t="s">
        <v>59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ht="20" customHeight="1" spans="1:34">
      <c r="A34" s="41" t="s">
        <v>60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spans="1:3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  <row r="36" spans="1:3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</sheetData>
  <conditionalFormatting sqref="I27">
    <cfRule type="expression" dxfId="0" priority="19">
      <formula>I27="P"</formula>
    </cfRule>
    <cfRule type="expression" dxfId="1" priority="20">
      <formula>I27="F"</formula>
    </cfRule>
    <cfRule type="expression" dxfId="2" priority="21">
      <formula>I27="J"</formula>
    </cfRule>
  </conditionalFormatting>
  <conditionalFormatting sqref="I28">
    <cfRule type="expression" dxfId="0" priority="13">
      <formula>I28="P"</formula>
    </cfRule>
    <cfRule type="expression" dxfId="1" priority="14">
      <formula>I28="F"</formula>
    </cfRule>
    <cfRule type="expression" dxfId="2" priority="15">
      <formula>I28="J"</formula>
    </cfRule>
  </conditionalFormatting>
  <conditionalFormatting sqref="I29">
    <cfRule type="expression" dxfId="0" priority="7">
      <formula>I29="P"</formula>
    </cfRule>
    <cfRule type="expression" dxfId="1" priority="8">
      <formula>I29="F"</formula>
    </cfRule>
    <cfRule type="expression" dxfId="2" priority="9">
      <formula>I29="J"</formula>
    </cfRule>
  </conditionalFormatting>
  <conditionalFormatting sqref="L29">
    <cfRule type="expression" dxfId="0" priority="4">
      <formula>L29="P"</formula>
    </cfRule>
    <cfRule type="expression" dxfId="1" priority="5">
      <formula>L29="F"</formula>
    </cfRule>
    <cfRule type="expression" dxfId="2" priority="6">
      <formula>L29="J"</formula>
    </cfRule>
  </conditionalFormatting>
  <conditionalFormatting sqref="I9:I26">
    <cfRule type="expression" dxfId="0" priority="31">
      <formula>I9="P"</formula>
    </cfRule>
    <cfRule type="expression" dxfId="1" priority="32">
      <formula>I9="F"</formula>
    </cfRule>
    <cfRule type="expression" dxfId="2" priority="33">
      <formula>I9="J"</formula>
    </cfRule>
  </conditionalFormatting>
  <conditionalFormatting sqref="C9:H26;J9:AE26">
    <cfRule type="expression" dxfId="0" priority="34">
      <formula>C9="P"</formula>
    </cfRule>
    <cfRule type="expression" dxfId="1" priority="35">
      <formula>C9="F"</formula>
    </cfRule>
    <cfRule type="expression" dxfId="2" priority="36">
      <formula>C9="J"</formula>
    </cfRule>
  </conditionalFormatting>
  <conditionalFormatting sqref="C27:H27;J27:L27">
    <cfRule type="expression" dxfId="0" priority="22">
      <formula>C27="P"</formula>
    </cfRule>
    <cfRule type="expression" dxfId="1" priority="23">
      <formula>C27="F"</formula>
    </cfRule>
    <cfRule type="expression" dxfId="2" priority="24">
      <formula>C27="J"</formula>
    </cfRule>
  </conditionalFormatting>
  <conditionalFormatting sqref="M27:AE29">
    <cfRule type="expression" dxfId="2" priority="3">
      <formula>M27="J"</formula>
    </cfRule>
    <cfRule type="expression" dxfId="1" priority="2">
      <formula>M27="F"</formula>
    </cfRule>
    <cfRule type="expression" dxfId="0" priority="1">
      <formula>M27="P"</formula>
    </cfRule>
  </conditionalFormatting>
  <conditionalFormatting sqref="C28:H28;J28:L28">
    <cfRule type="expression" dxfId="0" priority="16">
      <formula>C28="P"</formula>
    </cfRule>
    <cfRule type="expression" dxfId="1" priority="17">
      <formula>C28="F"</formula>
    </cfRule>
    <cfRule type="expression" dxfId="2" priority="18">
      <formula>C28="J"</formula>
    </cfRule>
  </conditionalFormatting>
  <conditionalFormatting sqref="C29:H29;J29:K29">
    <cfRule type="expression" dxfId="0" priority="10">
      <formula>C29="P"</formula>
    </cfRule>
    <cfRule type="expression" dxfId="1" priority="11">
      <formula>C29="F"</formula>
    </cfRule>
    <cfRule type="expression" dxfId="2" priority="12">
      <formula>C29="J"</formula>
    </cfRule>
  </conditionalFormatting>
  <dataValidations count="1">
    <dataValidation type="list" sqref="C9:AE26 C27:L29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2026-10-26T15:58:14Z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