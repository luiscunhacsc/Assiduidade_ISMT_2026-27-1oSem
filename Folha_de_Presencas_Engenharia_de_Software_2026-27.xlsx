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<sst xmlns="http://schemas.openxmlformats.org/spreadsheetml/2006/main" count="49" uniqueCount="32">
  <si>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</si>
  <si>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</si>
  <si>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</si>
  <si>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</si>
  <si>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</si>
  <si>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</si>
  <si>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</si>
  <si>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</si>
  <si>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</si>
  <si>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</si>
  <si>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</si>
  <si>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</si>
  <si>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</si>
  <si>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</si>
  <si>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</si>
  <si>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</si>
  <si>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</si>
  <si>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</si>
  <si>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</si>
  <si>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</si>
  <si>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</si>
  <si>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</si>
  <si>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</si>
  <si>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</si>
  <si>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Jorge Guimarães Pedro</t>
  </si>
  <si>
    <t>13422</t>
  </si>
  <si>
    <t>Vitor Ângelo Medeiros e Silva</t>
  </si>
  <si>
    <t>x</t>
  </si>
  <si>
    <t>Registos por aula</t>
  </si>
  <si>
    <t>P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</si>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</sst>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/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3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5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37" applyNumberFormat="0" applyAlignment="0" applyProtection="0">
      <alignment vertical="center"/>
    </xf>
    <xf numFmtId="0" fontId="21" fillId="10" borderId="38" applyNumberFormat="0" applyAlignment="0" applyProtection="0">
      <alignment vertical="center"/>
    </xf>
    <xf numFmtId="0" fontId="22" fillId="10" borderId="37" applyNumberFormat="0" applyAlignment="0" applyProtection="0">
      <alignment vertical="center"/>
    </xf>
    <xf numFmtId="0" fontId="23" fillId="11" borderId="39" applyNumberFormat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5" fillId="0" borderId="4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6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6" fillId="0" borderId="26" xfId="0" applyNumberFormat="1" applyFont="1" applyFill="1" applyBorder="1" applyAlignment="1">
      <alignment vertical="center"/>
    </xf>
    <xf numFmtId="0" fontId="7" fillId="5" borderId="27" xfId="0" applyNumberFormat="1" applyFont="1" applyFill="1" applyBorder="1" applyAlignment="1">
      <alignment horizontal="center" vertical="center"/>
    </xf>
    <xf numFmtId="0" fontId="7" fillId="5" borderId="28" xfId="0" applyNumberFormat="1" applyFont="1" applyFill="1" applyBorder="1" applyAlignment="1">
      <alignment horizontal="center" vertical="center"/>
    </xf>
    <xf numFmtId="0" fontId="7" fillId="5" borderId="29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center" vertical="center"/>
    </xf>
    <xf numFmtId="0" fontId="8" fillId="6" borderId="31" xfId="0" applyNumberFormat="1" applyFont="1" applyFill="1" applyBorder="1" applyAlignment="1">
      <alignment horizontal="center" vertical="center"/>
    </xf>
    <xf numFmtId="0" fontId="8" fillId="6" borderId="32" xfId="0" applyNumberFormat="1" applyFont="1" applyFill="1" applyBorder="1" applyAlignment="1">
      <alignment horizontal="center" vertical="center"/>
    </xf>
    <xf numFmtId="0" fontId="8" fillId="7" borderId="33" xfId="0" applyNumberFormat="1" applyFont="1" applyFill="1" applyBorder="1" applyAlignment="1">
      <alignment vertical="center"/>
    </xf>
    <xf numFmtId="0" fontId="8" fillId="7" borderId="33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C8" activePane="bottomRight" state="frozen"/>
      <selection/>
      <selection pane="topRight"/>
      <selection pane="bottomLeft"/>
      <selection pane="bottomRight" activeCell="F1" sqref="F1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 t="s">
        <v>17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>COUNTIF(C8:Q8,"P")</f>
        <v>0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 t="s">
        <v>17</v>
      </c>
      <c r="F9" s="26" t="s">
        <v>17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7"/>
      <c r="R9" s="28">
        <f>COUNTIF(C9:Q9,"P")</f>
        <v>0</v>
      </c>
      <c r="S9" s="29">
        <f>COUNTIF(C9:Q9,"F")</f>
        <v>0</v>
      </c>
      <c r="T9" s="30">
        <f>COUNTIF(C9:Q9,"J")</f>
        <v>0</v>
      </c>
    </row>
    <row r="10" ht="34" customHeight="1" spans="1:20">
      <c r="A10" s="31" t="s">
        <v>20</v>
      </c>
      <c r="B10" s="32" t="s">
        <v>21</v>
      </c>
      <c r="C10" s="17" t="s">
        <v>17</v>
      </c>
      <c r="D10" s="26"/>
      <c r="E10" s="26" t="s">
        <v>17</v>
      </c>
      <c r="F10" s="26" t="s">
        <v>17</v>
      </c>
      <c r="G10" s="26" t="s">
        <v>17</v>
      </c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8">
        <f>COUNTIF(C10:Q10,"P")</f>
        <v>0</v>
      </c>
      <c r="S10" s="29">
        <f>COUNTIF(C10:Q10,"F")</f>
        <v>0</v>
      </c>
      <c r="T10" s="30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8">
        <f>COUNTIF(C11:Q11,"P")</f>
        <v>0</v>
      </c>
      <c r="S11" s="29">
        <f>COUNTIF(C11:Q11,"F")</f>
        <v>0</v>
      </c>
      <c r="T11" s="30">
        <f>COUNTIF(C11:Q11,"J")</f>
        <v>0</v>
      </c>
    </row>
    <row r="12" ht="34" customHeight="1" spans="1:20">
      <c r="A12" s="33">
        <v>13658</v>
      </c>
      <c r="B12" s="34" t="s">
        <v>24</v>
      </c>
      <c r="C12" s="35" t="s">
        <v>17</v>
      </c>
      <c r="D12" s="36" t="s">
        <v>17</v>
      </c>
      <c r="E12" s="36" t="s">
        <v>17</v>
      </c>
      <c r="F12" s="36" t="s">
        <v>17</v>
      </c>
      <c r="G12" s="36" t="s">
        <v>17</v>
      </c>
      <c r="H12" s="36"/>
      <c r="I12" s="36"/>
      <c r="J12" s="36"/>
      <c r="K12" s="36"/>
      <c r="L12" s="36"/>
      <c r="M12" s="36"/>
      <c r="N12" s="36"/>
      <c r="O12" s="36"/>
      <c r="P12" s="36"/>
      <c r="Q12" s="37"/>
      <c r="R12" s="38"/>
      <c r="S12" s="39"/>
      <c r="T12" s="40"/>
    </row>
    <row r="13" ht="34" customHeight="1" spans="1:20">
      <c r="A13" s="41" t="s">
        <v>25</v>
      </c>
      <c r="B13" s="42" t="s">
        <v>26</v>
      </c>
      <c r="C13" s="43" t="s">
        <v>27</v>
      </c>
      <c r="D13" s="44" t="s">
        <v>17</v>
      </c>
      <c r="E13" s="44" t="s">
        <v>17</v>
      </c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  <c r="R13" s="46">
        <f>COUNTIF(C13:Q13,"P")</f>
        <v>0</v>
      </c>
      <c r="S13" s="47">
        <f>COUNTIF(C13:Q13,"F")</f>
        <v>0</v>
      </c>
      <c r="T13" s="48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9"/>
      <c r="B15" s="49" t="s">
        <v>28</v>
      </c>
      <c r="C15" s="50">
        <f>COUNTIF(C8:C13,"X")+COUNTIF(C8:C13,"F")+COUNTIF(C8:C13,"J")</f>
        <v>6</v>
      </c>
      <c r="D15" s="50">
        <f>COUNTIF(D8:D13,"X")+COUNTIF(D8:D13,"F")+COUNTIF(D8:D13,"J")</f>
        <v>3</v>
      </c>
      <c r="E15" s="50">
        <f t="shared" ref="E15:Q15" si="0">COUNTIF(E8:E13,"X")+COUNTIF(E8:E13,"F")+COUNTIF(E8:E13,"J")</f>
        <v>5</v>
      </c>
      <c r="F15" s="50">
        <f t="shared" si="0"/>
        <v>3</v>
      </c>
      <c r="G15" s="50">
        <f t="shared" si="0"/>
        <v>2</v>
      </c>
      <c r="H15" s="50">
        <f t="shared" si="0"/>
        <v>0</v>
      </c>
      <c r="I15" s="50">
        <f t="shared" si="0"/>
        <v>0</v>
      </c>
      <c r="J15" s="50">
        <f t="shared" si="0"/>
        <v>0</v>
      </c>
      <c r="K15" s="50">
        <f t="shared" si="0"/>
        <v>0</v>
      </c>
      <c r="L15" s="50">
        <f t="shared" si="0"/>
        <v>0</v>
      </c>
      <c r="M15" s="50">
        <f t="shared" si="0"/>
        <v>0</v>
      </c>
      <c r="N15" s="50">
        <f t="shared" si="0"/>
        <v>0</v>
      </c>
      <c r="O15" s="50">
        <f t="shared" si="0"/>
        <v>0</v>
      </c>
      <c r="P15" s="50">
        <f t="shared" si="0"/>
        <v>0</v>
      </c>
      <c r="Q15" s="50">
        <f t="shared" si="0"/>
        <v>0</v>
      </c>
      <c r="R15" s="50">
        <f>SUM(R8:R13)</f>
        <v>0</v>
      </c>
      <c r="S15" s="50">
        <f>SUM(S8:S13)</f>
        <v>0</v>
      </c>
      <c r="T15" s="50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51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52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3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2026-10-15T10:27:51Z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74053B9932E04424B5E8AF526DF6621B_12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