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200"/>
  </bookViews>
  <sheets>
    <sheet name="Presenç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<sst xmlns="http://schemas.openxmlformats.org/spreadsheetml/2006/main" count="51" uniqueCount="32">
  <si>
    <t>REGISTO DE PRESENÇAS</t>
  </si>
  <si>
    <t>Engenharia de Software  ·  27C1012  ·  Licenciatura em Informática</t>
  </si>
  <si>
    <t>2026/27  ·  1.º semestre  ·  quintas-feiras, 09h30–13h00  ·  15 aulas previstas</t>
  </si>
  <si>
    <t>ESTUDANTES</t>
  </si>
  <si>
    <t>SET</t>
  </si>
  <si>
    <t>OUT</t>
  </si>
  <si>
    <t>NOV</t>
  </si>
  <si>
    <t>DEZ</t>
  </si>
  <si>
    <t>JAN</t>
  </si>
  <si>
    <t>TOTAIS</t>
  </si>
  <si>
    <t>N.º aluno</t>
  </si>
  <si>
    <t>Nome</t>
  </si>
  <si>
    <t>P</t>
  </si>
  <si>
    <t>F</t>
  </si>
  <si>
    <t>J</t>
  </si>
  <si>
    <t>13423</t>
  </si>
  <si>
    <t>Adalgisa Falicane Mateus Pedro</t>
  </si>
  <si>
    <t>X</t>
  </si>
  <si>
    <t>13571</t>
  </si>
  <si>
    <t>Afonso Vitoria Fião Lopes de Almeida</t>
  </si>
  <si>
    <t>13439</t>
  </si>
  <si>
    <t>Américo Paz Catumba Tomás</t>
  </si>
  <si>
    <t>882180</t>
  </si>
  <si>
    <t>Marina Archeli Perez</t>
  </si>
  <si>
    <t>Thaniel Jorge Guimarães Pedro</t>
  </si>
  <si>
    <t>13422</t>
  </si>
  <si>
    <t>Vitor Ângelo Medeiros e Silva</t>
  </si>
  <si>
    <t>x</t>
  </si>
  <si>
    <t>Registos por aula</t>
  </si>
  <si>
    <t>P  Presente     F  Falta     J  Falta justificada     ·     Célula vazia: ainda por registar</t>
  </si>
  <si>
    <t>24/12 e 31/12 coincidem com as férias de Natal. Essas datas foram excluídas.</t>
  </si>
  <si>
    <t>Fontes: pauta E-SCA de 24/09/2026; Calendário Escolar 2026/27 (1.º ciclo); Código do Trabalho, art. 234.º.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</si>
</sst>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#.##000_ ;_ * \-#,###.##000_ ;_ * &quot;-&quot;??_ ;_ @_ "/>
    <numFmt numFmtId="177" formatCode="_(\$* #,###.##000_);_(\$* \(#,###.##000\);_(\$* &quot;-&quot;??_);_(@_)"/>
    <numFmt numFmtId="178" formatCode="_ * #.##0_ ;_ * \-#.##0_ ;_ * &quot;-&quot;_ ;_ @_ "/>
    <numFmt numFmtId="179" formatCode="_(\$* #.##0_);_(\$* \(#.##0\);_(\$* &quot;-&quot;_);_(@_)"/>
    <numFmt numFmtId="180" formatCode="dd/mm"/>
  </numFmts>
  <fonts count="31">
    <font>
      <sz val="11"/>
      <name val="Carlito"/>
      <charset val="134"/>
    </font>
    <font>
      <sz val="10"/>
      <color rgb="FF223746"/>
      <name val="Arial"/>
      <charset val="134"/>
    </font>
    <font>
      <b/>
      <sz val="16"/>
      <color rgb="FF173F56"/>
      <name val="Arial"/>
      <charset val="134"/>
    </font>
    <font>
      <sz val="11"/>
      <color rgb="FF31576B"/>
      <name val="Arial"/>
      <charset val="134"/>
    </font>
    <font>
      <sz val="10"/>
      <color rgb="FF607583"/>
      <name val="Arial"/>
      <charset val="134"/>
    </font>
    <font>
      <b/>
      <sz val="10"/>
      <color rgb="FFFFFFFF"/>
      <name val="Arial"/>
      <charset val="134"/>
    </font>
    <font>
      <sz val="10"/>
      <color rgb="FF173F56"/>
      <name val="Arial"/>
      <charset val="134"/>
    </font>
    <font>
      <b/>
      <sz val="11"/>
      <color rgb="FF223746"/>
      <name val="Arial"/>
      <charset val="134"/>
    </font>
    <font>
      <b/>
      <sz val="10"/>
      <color rgb="FF173F56"/>
      <name val="Arial"/>
      <charset val="134"/>
    </font>
    <font>
      <i/>
      <sz val="10"/>
      <color rgb="FF607583"/>
      <name val="Arial"/>
      <charset val="134"/>
    </font>
    <font>
      <i/>
      <sz val="9"/>
      <color rgb="FF607583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73F56"/>
        <bgColor indexed="64"/>
      </patternFill>
    </fill>
    <fill>
      <patternFill patternType="solid">
        <fgColor rgb="FF176C73"/>
        <bgColor indexed="64"/>
      </patternFill>
    </fill>
    <fill>
      <patternFill patternType="solid">
        <fgColor rgb="FF31576B"/>
        <bgColor indexed="64"/>
      </patternFill>
    </fill>
    <fill>
      <patternFill patternType="solid">
        <fgColor rgb="FFFFF8E8"/>
        <bgColor indexed="64"/>
      </patternFill>
    </fill>
    <fill>
      <patternFill patternType="solid">
        <fgColor rgb="FFF2F6F7"/>
        <bgColor indexed="64"/>
      </patternFill>
    </fill>
    <fill>
      <patternFill patternType="solid">
        <fgColor rgb="FFE7EF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n">
        <color rgb="FFB8C8CF"/>
      </bottom>
      <diagonal/>
    </border>
    <border>
      <left/>
      <right style="thin">
        <color rgb="FFC1D2D9"/>
      </right>
      <top/>
      <bottom style="medium">
        <color rgb="FF173F56"/>
      </bottom>
      <diagonal/>
    </border>
    <border>
      <left style="thin">
        <color rgb="FFC1D2D9"/>
      </left>
      <right style="thin">
        <color rgb="FFC1D2D9"/>
      </right>
      <top/>
      <bottom style="medium">
        <color rgb="FF173F56"/>
      </bottom>
      <diagonal/>
    </border>
    <border>
      <left style="thin">
        <color rgb="FFC1D2D9"/>
      </left>
      <right/>
      <top/>
      <bottom style="medium">
        <color rgb="FF173F56"/>
      </bottom>
      <diagonal/>
    </border>
    <border>
      <left/>
      <right/>
      <top/>
      <bottom style="thin">
        <color rgb="FFDCE5E9"/>
      </bottom>
      <diagonal/>
    </border>
    <border>
      <left/>
      <right style="thin">
        <color rgb="FFE8E5DB"/>
      </right>
      <top/>
      <bottom style="thin">
        <color rgb="FFDCE5E9"/>
      </bottom>
      <diagonal/>
    </border>
    <border>
      <left style="thin">
        <color rgb="FFE8E5DB"/>
      </left>
      <right style="thin">
        <color rgb="FFE8E5DB"/>
      </right>
      <top/>
      <bottom style="thin">
        <color rgb="FFDCE5E9"/>
      </bottom>
      <diagonal/>
    </border>
    <border>
      <left style="thin">
        <color rgb="FFE8E5DB"/>
      </left>
      <right/>
      <top/>
      <bottom style="thin">
        <color rgb="FFDCE5E9"/>
      </bottom>
      <diagonal/>
    </border>
    <border>
      <left/>
      <right style="thin">
        <color rgb="FFD5E0E4"/>
      </right>
      <top/>
      <bottom style="thin">
        <color rgb="FFDCE5E9"/>
      </bottom>
      <diagonal/>
    </border>
    <border>
      <left style="thin">
        <color rgb="FFD5E0E4"/>
      </left>
      <right style="thin">
        <color rgb="FFD5E0E4"/>
      </right>
      <top/>
      <bottom style="thin">
        <color rgb="FFDCE5E9"/>
      </bottom>
      <diagonal/>
    </border>
    <border>
      <left style="thin">
        <color rgb="FFD5E0E4"/>
      </left>
      <right/>
      <top/>
      <bottom style="thin">
        <color rgb="FFDCE5E9"/>
      </bottom>
      <diagonal/>
    </border>
    <border>
      <left/>
      <right/>
      <top style="thin">
        <color rgb="FFDCE5E9"/>
      </top>
      <bottom style="thin">
        <color rgb="FFDCE5E9"/>
      </bottom>
      <diagonal/>
    </border>
    <border>
      <left/>
      <right style="thin">
        <color rgb="FFE8E5DB"/>
      </right>
      <top style="thin">
        <color rgb="FFDCE5E9"/>
      </top>
      <bottom style="thin">
        <color rgb="FFDCE5E9"/>
      </bottom>
      <diagonal/>
    </border>
    <border>
      <left style="thin">
        <color rgb="FFE8E5DB"/>
      </left>
      <right style="thin">
        <color rgb="FFE8E5DB"/>
      </right>
      <top style="thin">
        <color rgb="FFDCE5E9"/>
      </top>
      <bottom style="thin">
        <color rgb="FFDCE5E9"/>
      </bottom>
      <diagonal/>
    </border>
    <border>
      <left style="thin">
        <color rgb="FFE8E5DB"/>
      </left>
      <right/>
      <top style="thin">
        <color rgb="FFDCE5E9"/>
      </top>
      <bottom style="thin">
        <color rgb="FFDCE5E9"/>
      </bottom>
      <diagonal/>
    </border>
    <border>
      <left/>
      <right style="thin">
        <color rgb="FFD5E0E4"/>
      </right>
      <top style="thin">
        <color rgb="FFDCE5E9"/>
      </top>
      <bottom style="thin">
        <color rgb="FFDCE5E9"/>
      </bottom>
      <diagonal/>
    </border>
    <border>
      <left style="thin">
        <color rgb="FFD5E0E4"/>
      </left>
      <right style="thin">
        <color rgb="FFD5E0E4"/>
      </right>
      <top style="thin">
        <color rgb="FFDCE5E9"/>
      </top>
      <bottom style="thin">
        <color rgb="FFDCE5E9"/>
      </bottom>
      <diagonal/>
    </border>
    <border>
      <left style="thin">
        <color rgb="FFD5E0E4"/>
      </left>
      <right/>
      <top style="thin">
        <color rgb="FFDCE5E9"/>
      </top>
      <bottom style="thin">
        <color rgb="FFDCE5E9"/>
      </bottom>
      <diagonal/>
    </border>
    <border>
      <left/>
      <right/>
      <top style="thin">
        <color rgb="FFDCE5E9"/>
      </top>
      <bottom style="thin">
        <color auto="1"/>
      </bottom>
      <diagonal/>
    </border>
    <border>
      <left/>
      <right style="thin">
        <color rgb="FFE8E5DB"/>
      </right>
      <top style="thin">
        <color rgb="FFDCE5E9"/>
      </top>
      <bottom style="thin">
        <color auto="1"/>
      </bottom>
      <diagonal/>
    </border>
    <border>
      <left style="thin">
        <color rgb="FFE8E5DB"/>
      </left>
      <right style="thin">
        <color rgb="FFE8E5DB"/>
      </right>
      <top style="thin">
        <color rgb="FFDCE5E9"/>
      </top>
      <bottom style="thin">
        <color auto="1"/>
      </bottom>
      <diagonal/>
    </border>
    <border>
      <left style="thin">
        <color rgb="FFE8E5DB"/>
      </left>
      <right/>
      <top style="thin">
        <color rgb="FFDCE5E9"/>
      </top>
      <bottom style="thin">
        <color auto="1"/>
      </bottom>
      <diagonal/>
    </border>
    <border>
      <left/>
      <right style="thin">
        <color rgb="FFD5E0E4"/>
      </right>
      <top style="thin">
        <color rgb="FFDCE5E9"/>
      </top>
      <bottom style="thin">
        <color auto="1"/>
      </bottom>
      <diagonal/>
    </border>
    <border>
      <left style="thin">
        <color rgb="FFD5E0E4"/>
      </left>
      <right style="thin">
        <color rgb="FFD5E0E4"/>
      </right>
      <top style="thin">
        <color rgb="FFDCE5E9"/>
      </top>
      <bottom style="thin">
        <color auto="1"/>
      </bottom>
      <diagonal/>
    </border>
    <border>
      <left style="thin">
        <color rgb="FFD5E0E4"/>
      </left>
      <right/>
      <top style="thin">
        <color rgb="FFDCE5E9"/>
      </top>
      <bottom style="thin">
        <color auto="1"/>
      </bottom>
      <diagonal/>
    </border>
    <border>
      <left/>
      <right/>
      <top style="thin">
        <color rgb="FFDCE5E9"/>
      </top>
      <bottom style="thin">
        <color rgb="FFB8C8CF"/>
      </bottom>
      <diagonal/>
    </border>
    <border>
      <left/>
      <right style="thin">
        <color rgb="FFE8E5DB"/>
      </right>
      <top style="thin">
        <color rgb="FFDCE5E9"/>
      </top>
      <bottom style="thin">
        <color rgb="FFB8C8CF"/>
      </bottom>
      <diagonal/>
    </border>
    <border>
      <left style="thin">
        <color rgb="FFE8E5DB"/>
      </left>
      <right style="thin">
        <color rgb="FFE8E5DB"/>
      </right>
      <top style="thin">
        <color rgb="FFDCE5E9"/>
      </top>
      <bottom style="thin">
        <color rgb="FFB8C8CF"/>
      </bottom>
      <diagonal/>
    </border>
    <border>
      <left style="thin">
        <color rgb="FFE8E5DB"/>
      </left>
      <right/>
      <top style="thin">
        <color rgb="FFDCE5E9"/>
      </top>
      <bottom style="thin">
        <color rgb="FFB8C8CF"/>
      </bottom>
      <diagonal/>
    </border>
    <border>
      <left/>
      <right style="thin">
        <color rgb="FFD5E0E4"/>
      </right>
      <top style="thin">
        <color rgb="FFDCE5E9"/>
      </top>
      <bottom style="thin">
        <color rgb="FFB8C8CF"/>
      </bottom>
      <diagonal/>
    </border>
    <border>
      <left style="thin">
        <color rgb="FFD5E0E4"/>
      </left>
      <right style="thin">
        <color rgb="FFD5E0E4"/>
      </right>
      <top style="thin">
        <color rgb="FFDCE5E9"/>
      </top>
      <bottom style="thin">
        <color rgb="FFB8C8CF"/>
      </bottom>
      <diagonal/>
    </border>
    <border>
      <left style="thin">
        <color rgb="FFD5E0E4"/>
      </left>
      <right/>
      <top style="thin">
        <color rgb="FFDCE5E9"/>
      </top>
      <bottom style="thin">
        <color rgb="FFB8C8CF"/>
      </bottom>
      <diagonal/>
    </border>
    <border>
      <left/>
      <right/>
      <top style="thin">
        <color rgb="FFB8C8CF"/>
      </top>
      <bottom style="thin">
        <color rgb="FFB8C8C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8" borderId="3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5" applyNumberFormat="0" applyFill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19" fillId="0" borderId="3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37" applyNumberFormat="0" applyAlignment="0" applyProtection="0">
      <alignment vertical="center"/>
    </xf>
    <xf numFmtId="0" fontId="21" fillId="10" borderId="38" applyNumberFormat="0" applyAlignment="0" applyProtection="0">
      <alignment vertical="center"/>
    </xf>
    <xf numFmtId="0" fontId="22" fillId="10" borderId="37" applyNumberFormat="0" applyAlignment="0" applyProtection="0">
      <alignment vertical="center"/>
    </xf>
    <xf numFmtId="0" fontId="23" fillId="11" borderId="39" applyNumberFormat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5" fillId="0" borderId="41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</cellStyleXfs>
  <cellXfs count="54">
    <xf numFmtId="0" fontId="0" fillId="0" borderId="0" xfId="0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4" fillId="0" borderId="1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5" fillId="2" borderId="0" xfId="0" applyNumberFormat="1" applyFont="1" applyFill="1" applyBorder="1" applyAlignment="1">
      <alignment vertical="center"/>
    </xf>
    <xf numFmtId="0" fontId="5" fillId="2" borderId="0" xfId="0" applyNumberFormat="1" applyFont="1" applyFill="1" applyBorder="1" applyAlignment="1">
      <alignment horizontal="center" vertical="center"/>
    </xf>
    <xf numFmtId="0" fontId="5" fillId="3" borderId="0" xfId="0" applyNumberFormat="1" applyFont="1" applyFill="1" applyBorder="1" applyAlignment="1">
      <alignment horizontal="center" vertical="center"/>
    </xf>
    <xf numFmtId="0" fontId="5" fillId="3" borderId="0" xfId="0" applyNumberFormat="1" applyFont="1" applyFill="1" applyBorder="1" applyAlignment="1">
      <alignment vertical="center"/>
    </xf>
    <xf numFmtId="0" fontId="5" fillId="4" borderId="2" xfId="0" applyNumberFormat="1" applyFont="1" applyFill="1" applyBorder="1" applyAlignment="1">
      <alignment horizontal="center" vertical="center"/>
    </xf>
    <xf numFmtId="0" fontId="5" fillId="4" borderId="3" xfId="0" applyNumberFormat="1" applyFont="1" applyFill="1" applyBorder="1" applyAlignment="1">
      <alignment horizontal="left" vertical="center"/>
    </xf>
    <xf numFmtId="180" fontId="5" fillId="4" borderId="3" xfId="0" applyNumberFormat="1" applyFont="1" applyFill="1" applyBorder="1" applyAlignment="1">
      <alignment horizontal="center" vertical="center"/>
    </xf>
    <xf numFmtId="0" fontId="5" fillId="4" borderId="3" xfId="0" applyNumberFormat="1" applyFont="1" applyFill="1" applyBorder="1" applyAlignment="1">
      <alignment horizontal="center" vertical="center"/>
    </xf>
    <xf numFmtId="0" fontId="5" fillId="4" borderId="4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6" fillId="0" borderId="5" xfId="0" applyNumberFormat="1" applyFont="1" applyFill="1" applyBorder="1" applyAlignment="1">
      <alignment vertical="center"/>
    </xf>
    <xf numFmtId="0" fontId="7" fillId="5" borderId="6" xfId="0" applyNumberFormat="1" applyFont="1" applyFill="1" applyBorder="1" applyAlignment="1">
      <alignment horizontal="center" vertical="center"/>
    </xf>
    <xf numFmtId="0" fontId="7" fillId="5" borderId="7" xfId="0" applyNumberFormat="1" applyFont="1" applyFill="1" applyBorder="1" applyAlignment="1">
      <alignment horizontal="center" vertical="center"/>
    </xf>
    <xf numFmtId="0" fontId="7" fillId="5" borderId="8" xfId="0" applyNumberFormat="1" applyFont="1" applyFill="1" applyBorder="1" applyAlignment="1">
      <alignment horizontal="center" vertical="center"/>
    </xf>
    <xf numFmtId="0" fontId="8" fillId="6" borderId="9" xfId="0" applyNumberFormat="1" applyFont="1" applyFill="1" applyBorder="1" applyAlignment="1">
      <alignment horizontal="center" vertical="center"/>
    </xf>
    <xf numFmtId="0" fontId="8" fillId="6" borderId="10" xfId="0" applyNumberFormat="1" applyFont="1" applyFill="1" applyBorder="1" applyAlignment="1">
      <alignment horizontal="center" vertical="center"/>
    </xf>
    <xf numFmtId="0" fontId="8" fillId="6" borderId="11" xfId="0" applyNumberFormat="1" applyFont="1" applyFill="1" applyBorder="1" applyAlignment="1">
      <alignment horizontal="center" vertical="center"/>
    </xf>
    <xf numFmtId="0" fontId="1" fillId="6" borderId="12" xfId="0" applyNumberFormat="1" applyFont="1" applyFill="1" applyBorder="1" applyAlignment="1">
      <alignment horizontal="center" vertical="center"/>
    </xf>
    <xf numFmtId="0" fontId="6" fillId="6" borderId="12" xfId="0" applyNumberFormat="1" applyFont="1" applyFill="1" applyBorder="1" applyAlignment="1">
      <alignment vertical="center"/>
    </xf>
    <xf numFmtId="0" fontId="7" fillId="5" borderId="13" xfId="0" applyNumberFormat="1" applyFont="1" applyFill="1" applyBorder="1" applyAlignment="1">
      <alignment horizontal="center" vertical="center"/>
    </xf>
    <xf numFmtId="0" fontId="7" fillId="5" borderId="14" xfId="0" applyNumberFormat="1" applyFont="1" applyFill="1" applyBorder="1" applyAlignment="1">
      <alignment horizontal="center" vertical="center"/>
    </xf>
    <xf numFmtId="0" fontId="7" fillId="5" borderId="15" xfId="0" applyNumberFormat="1" applyFont="1" applyFill="1" applyBorder="1" applyAlignment="1">
      <alignment horizontal="center" vertical="center"/>
    </xf>
    <xf numFmtId="0" fontId="8" fillId="6" borderId="16" xfId="0" applyNumberFormat="1" applyFont="1" applyFill="1" applyBorder="1" applyAlignment="1">
      <alignment horizontal="center" vertical="center"/>
    </xf>
    <xf numFmtId="0" fontId="8" fillId="6" borderId="17" xfId="0" applyNumberFormat="1" applyFont="1" applyFill="1" applyBorder="1" applyAlignment="1">
      <alignment horizontal="center" vertical="center"/>
    </xf>
    <xf numFmtId="0" fontId="8" fillId="6" borderId="18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6" fillId="0" borderId="12" xfId="0" applyNumberFormat="1" applyFont="1" applyFill="1" applyBorder="1" applyAlignment="1">
      <alignment vertical="center"/>
    </xf>
    <xf numFmtId="0" fontId="1" fillId="0" borderId="19" xfId="0" applyNumberFormat="1" applyFont="1" applyFill="1" applyBorder="1" applyAlignment="1">
      <alignment horizontal="center" vertical="center"/>
    </xf>
    <xf numFmtId="0" fontId="6" fillId="6" borderId="19" xfId="0" applyNumberFormat="1" applyFont="1" applyFill="1" applyBorder="1" applyAlignment="1">
      <alignment vertical="center"/>
    </xf>
    <xf numFmtId="0" fontId="7" fillId="5" borderId="20" xfId="0" applyNumberFormat="1" applyFont="1" applyFill="1" applyBorder="1" applyAlignment="1">
      <alignment horizontal="center" vertical="center"/>
    </xf>
    <xf numFmtId="0" fontId="7" fillId="5" borderId="21" xfId="0" applyNumberFormat="1" applyFont="1" applyFill="1" applyBorder="1" applyAlignment="1">
      <alignment horizontal="center" vertical="center"/>
    </xf>
    <xf numFmtId="0" fontId="7" fillId="5" borderId="22" xfId="0" applyNumberFormat="1" applyFont="1" applyFill="1" applyBorder="1" applyAlignment="1">
      <alignment horizontal="center" vertical="center"/>
    </xf>
    <xf numFmtId="0" fontId="8" fillId="6" borderId="23" xfId="0" applyNumberFormat="1" applyFont="1" applyFill="1" applyBorder="1" applyAlignment="1">
      <alignment horizontal="center" vertical="center"/>
    </xf>
    <xf numFmtId="0" fontId="8" fillId="6" borderId="24" xfId="0" applyNumberFormat="1" applyFont="1" applyFill="1" applyBorder="1" applyAlignment="1">
      <alignment horizontal="center" vertical="center"/>
    </xf>
    <xf numFmtId="0" fontId="8" fillId="6" borderId="25" xfId="0" applyNumberFormat="1" applyFont="1" applyFill="1" applyBorder="1" applyAlignment="1">
      <alignment horizontal="center" vertical="center"/>
    </xf>
    <xf numFmtId="0" fontId="1" fillId="0" borderId="26" xfId="0" applyNumberFormat="1" applyFont="1" applyFill="1" applyBorder="1" applyAlignment="1">
      <alignment horizontal="center" vertical="center"/>
    </xf>
    <xf numFmtId="0" fontId="6" fillId="0" borderId="26" xfId="0" applyNumberFormat="1" applyFont="1" applyFill="1" applyBorder="1" applyAlignment="1">
      <alignment vertical="center"/>
    </xf>
    <xf numFmtId="0" fontId="7" fillId="5" borderId="27" xfId="0" applyNumberFormat="1" applyFont="1" applyFill="1" applyBorder="1" applyAlignment="1">
      <alignment horizontal="center" vertical="center"/>
    </xf>
    <xf numFmtId="0" fontId="7" fillId="5" borderId="28" xfId="0" applyNumberFormat="1" applyFont="1" applyFill="1" applyBorder="1" applyAlignment="1">
      <alignment horizontal="center" vertical="center"/>
    </xf>
    <xf numFmtId="0" fontId="7" fillId="5" borderId="29" xfId="0" applyNumberFormat="1" applyFont="1" applyFill="1" applyBorder="1" applyAlignment="1">
      <alignment horizontal="center" vertical="center"/>
    </xf>
    <xf numFmtId="0" fontId="8" fillId="6" borderId="30" xfId="0" applyNumberFormat="1" applyFont="1" applyFill="1" applyBorder="1" applyAlignment="1">
      <alignment horizontal="center" vertical="center"/>
    </xf>
    <xf numFmtId="0" fontId="8" fillId="6" borderId="31" xfId="0" applyNumberFormat="1" applyFont="1" applyFill="1" applyBorder="1" applyAlignment="1">
      <alignment horizontal="center" vertical="center"/>
    </xf>
    <xf numFmtId="0" fontId="8" fillId="6" borderId="32" xfId="0" applyNumberFormat="1" applyFont="1" applyFill="1" applyBorder="1" applyAlignment="1">
      <alignment horizontal="center" vertical="center"/>
    </xf>
    <xf numFmtId="0" fontId="8" fillId="7" borderId="33" xfId="0" applyNumberFormat="1" applyFont="1" applyFill="1" applyBorder="1" applyAlignment="1">
      <alignment vertical="center"/>
    </xf>
    <xf numFmtId="0" fontId="8" fillId="7" borderId="33" xfId="0" applyNumberFormat="1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>
      <alignment vertical="center"/>
    </xf>
    <xf numFmtId="0" fontId="9" fillId="0" borderId="0" xfId="0" applyNumberFormat="1" applyFont="1" applyFill="1" applyBorder="1" applyAlignment="1">
      <alignment vertical="center"/>
    </xf>
    <xf numFmtId="0" fontId="10" fillId="0" borderId="0" xfId="0" applyNumberFormat="1" applyFont="1" applyFill="1" applyBorder="1" applyAlignment="1">
      <alignment vertical="center"/>
    </xf>
  </cellXfs>
  <cellStyles count="49">
    <cellStyle name="Normal" xfId="0" builtinId="0"/>
    <cellStyle name="Vírgula" xfId="1" builtinId="3"/>
    <cellStyle name="Moeda" xfId="2" builtinId="4"/>
    <cellStyle name="Percentagem" xfId="3" builtinId="5"/>
    <cellStyle name="Vírgula [0]" xfId="4" builtinId="6"/>
    <cellStyle name="Moeda [0]" xfId="5" builtinId="7"/>
    <cellStyle name="Hiperligação" xfId="6" builtinId="8"/>
    <cellStyle name="Hiperligação Visitada" xfId="7" builtinId="9"/>
    <cellStyle name="Nota" xfId="8" builtinId="10"/>
    <cellStyle name="Texto de Aviso" xfId="9" builtinId="11"/>
    <cellStyle name="Título" xfId="10" builtinId="15"/>
    <cellStyle name="Texto Explicativo" xfId="11" builtinId="53"/>
    <cellStyle name="Cabeçalho 1" xfId="12" builtinId="16"/>
    <cellStyle name="Cabeçalho 2" xfId="13" builtinId="17"/>
    <cellStyle name="Cabeçalho 3" xfId="14" builtinId="18"/>
    <cellStyle name="Cabeçalho 4" xfId="15" builtinId="19"/>
    <cellStyle name="Entrada" xfId="16" builtinId="20"/>
    <cellStyle name="Saída" xfId="17" builtinId="21"/>
    <cellStyle name="Cálculo" xfId="18" builtinId="22"/>
    <cellStyle name="Verificar Célula" xfId="19" builtinId="23"/>
    <cellStyle name="Célula Ligada" xfId="20" builtinId="24"/>
    <cellStyle name="Total" xfId="21" builtinId="25"/>
    <cellStyle name="Bom" xfId="22" builtinId="26"/>
    <cellStyle name="Mau" xfId="23" builtinId="27"/>
    <cellStyle name="Neutro" xfId="24" builtinId="28"/>
    <cellStyle name="Cor 1" xfId="25" builtinId="29"/>
    <cellStyle name="20% - Cor 1" xfId="26" builtinId="30"/>
    <cellStyle name="40% - Cor 1" xfId="27" builtinId="31"/>
    <cellStyle name="60% - Cor 1" xfId="28" builtinId="32"/>
    <cellStyle name="Cor 2" xfId="29" builtinId="33"/>
    <cellStyle name="20% - Cor 2" xfId="30" builtinId="34"/>
    <cellStyle name="40% - Cor 2" xfId="31" builtinId="35"/>
    <cellStyle name="60% - Cor 2" xfId="32" builtinId="36"/>
    <cellStyle name="Cor 3" xfId="33" builtinId="37"/>
    <cellStyle name="20% - Cor 3" xfId="34" builtinId="38"/>
    <cellStyle name="40% - Cor 3" xfId="35" builtinId="39"/>
    <cellStyle name="60% - Cor 3" xfId="36" builtinId="40"/>
    <cellStyle name="Cor 4" xfId="37" builtinId="41"/>
    <cellStyle name="20% - Cor 4" xfId="38" builtinId="42"/>
    <cellStyle name="40% - Cor 4" xfId="39" builtinId="43"/>
    <cellStyle name="60% - Cor 4" xfId="40" builtinId="44"/>
    <cellStyle name="Cor 5" xfId="41" builtinId="45"/>
    <cellStyle name="20% - Cor 5" xfId="42" builtinId="46"/>
    <cellStyle name="40% - Cor 5" xfId="43" builtinId="47"/>
    <cellStyle name="60% - Cor 5" xfId="44" builtinId="48"/>
    <cellStyle name="Cor 6" xfId="45" builtinId="49"/>
    <cellStyle name="20% - Cor 6" xfId="46" builtinId="50"/>
    <cellStyle name="40% - Cor 6" xfId="47" builtinId="51"/>
    <cellStyle name="60% - Cor 6" xfId="48" builtinId="52"/>
  </cellStyles>
  <dxfs count="20">
    <dxf>
      <font>
        <b val="1"/>
        <color rgb="FF14583B"/>
      </font>
      <fill>
        <patternFill patternType="solid">
          <bgColor rgb="FFDCF2E8"/>
        </patternFill>
      </fill>
    </dxf>
    <dxf>
      <font>
        <b val="1"/>
        <color rgb="FFAB3434"/>
      </font>
      <fill>
        <patternFill patternType="solid">
          <bgColor rgb="FFFCE5E3"/>
        </patternFill>
      </fill>
    </dxf>
    <dxf>
      <font>
        <b val="1"/>
        <color rgb="FF285785"/>
      </font>
      <fill>
        <patternFill patternType="solid">
          <bgColor rgb="FFDEEDFA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73F56"/>
  </sheetPr>
  <dimension ref="A1:T21"/>
  <sheetViews>
    <sheetView showGridLines="0" tabSelected="1" workbookViewId="0">
      <pane xSplit="2" ySplit="7" topLeftCell="C8" activePane="bottomRight" state="frozen"/>
      <selection/>
      <selection pane="topRight"/>
      <selection pane="bottomLeft"/>
      <selection pane="bottomRight" activeCell="I8" sqref="I8"/>
    </sheetView>
  </sheetViews>
  <sheetFormatPr defaultColWidth="9" defaultRowHeight="14"/>
  <cols>
    <col min="1" max="1" width="12" customWidth="1"/>
    <col min="2" max="2" width="39" customWidth="1"/>
    <col min="3" max="17" width="8.3" customWidth="1"/>
    <col min="18" max="20" width="8.2" customWidth="1"/>
  </cols>
  <sheetData>
    <row r="1" ht="10" customHeight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8" customHeight="1" spans="1:20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ht="21" customHeight="1" spans="1:20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ht="20" customHeight="1" spans="1:20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customHeight="1" spans="1:20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ht="22" customHeight="1" spans="1:20">
      <c r="A6" s="6"/>
      <c r="B6" s="7" t="s">
        <v>3</v>
      </c>
      <c r="C6" s="8" t="s">
        <v>4</v>
      </c>
      <c r="D6" s="9"/>
      <c r="E6" s="8" t="s">
        <v>5</v>
      </c>
      <c r="F6" s="9"/>
      <c r="G6" s="9"/>
      <c r="H6" s="9"/>
      <c r="I6" s="9"/>
      <c r="J6" s="8" t="s">
        <v>6</v>
      </c>
      <c r="K6" s="9"/>
      <c r="L6" s="9"/>
      <c r="M6" s="9"/>
      <c r="N6" s="8" t="s">
        <v>7</v>
      </c>
      <c r="O6" s="9"/>
      <c r="P6" s="9"/>
      <c r="Q6" s="8" t="s">
        <v>8</v>
      </c>
      <c r="R6" s="7" t="s">
        <v>9</v>
      </c>
      <c r="S6" s="6"/>
      <c r="T6" s="6"/>
    </row>
    <row r="7" ht="29" customHeight="1" spans="1:20">
      <c r="A7" s="10" t="s">
        <v>10</v>
      </c>
      <c r="B7" s="11" t="s">
        <v>11</v>
      </c>
      <c r="C7" s="12">
        <v>46282</v>
      </c>
      <c r="D7" s="12">
        <v>46289</v>
      </c>
      <c r="E7" s="12">
        <v>46296</v>
      </c>
      <c r="F7" s="12">
        <v>46303</v>
      </c>
      <c r="G7" s="12">
        <v>46310</v>
      </c>
      <c r="H7" s="12">
        <v>46317</v>
      </c>
      <c r="I7" s="12">
        <v>46324</v>
      </c>
      <c r="J7" s="12">
        <v>46331</v>
      </c>
      <c r="K7" s="12">
        <v>46338</v>
      </c>
      <c r="L7" s="12">
        <v>46345</v>
      </c>
      <c r="M7" s="12">
        <v>46352</v>
      </c>
      <c r="N7" s="12">
        <v>46359</v>
      </c>
      <c r="O7" s="12">
        <v>46366</v>
      </c>
      <c r="P7" s="12">
        <v>46373</v>
      </c>
      <c r="Q7" s="12">
        <v>46394</v>
      </c>
      <c r="R7" s="13" t="s">
        <v>12</v>
      </c>
      <c r="S7" s="13" t="s">
        <v>13</v>
      </c>
      <c r="T7" s="14" t="s">
        <v>14</v>
      </c>
    </row>
    <row r="8" ht="34" customHeight="1" spans="1:20">
      <c r="A8" s="15" t="s">
        <v>15</v>
      </c>
      <c r="B8" s="16" t="s">
        <v>16</v>
      </c>
      <c r="C8" s="17" t="s">
        <v>17</v>
      </c>
      <c r="D8" s="18"/>
      <c r="E8" s="18" t="s">
        <v>17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9"/>
      <c r="R8" s="20">
        <f>COUNTIF(C8:Q8,"P")</f>
        <v>0</v>
      </c>
      <c r="S8" s="21">
        <f>COUNTIF(C8:Q8,"F")</f>
        <v>0</v>
      </c>
      <c r="T8" s="22">
        <f>COUNTIF(C8:Q8,"J")</f>
        <v>0</v>
      </c>
    </row>
    <row r="9" ht="34" customHeight="1" spans="1:20">
      <c r="A9" s="23" t="s">
        <v>18</v>
      </c>
      <c r="B9" s="24" t="s">
        <v>19</v>
      </c>
      <c r="C9" s="25" t="s">
        <v>17</v>
      </c>
      <c r="D9" s="26" t="s">
        <v>17</v>
      </c>
      <c r="E9" s="26" t="s">
        <v>17</v>
      </c>
      <c r="F9" s="26" t="s">
        <v>17</v>
      </c>
      <c r="G9" s="26"/>
      <c r="H9" s="26"/>
      <c r="I9" s="26" t="s">
        <v>17</v>
      </c>
      <c r="J9" s="26"/>
      <c r="K9" s="26"/>
      <c r="L9" s="26"/>
      <c r="M9" s="26"/>
      <c r="N9" s="26"/>
      <c r="O9" s="26"/>
      <c r="P9" s="26"/>
      <c r="Q9" s="27"/>
      <c r="R9" s="28">
        <f>COUNTIF(C9:Q9,"P")</f>
        <v>0</v>
      </c>
      <c r="S9" s="29">
        <f>COUNTIF(C9:Q9,"F")</f>
        <v>0</v>
      </c>
      <c r="T9" s="30">
        <f>COUNTIF(C9:Q9,"J")</f>
        <v>0</v>
      </c>
    </row>
    <row r="10" ht="34" customHeight="1" spans="1:20">
      <c r="A10" s="31" t="s">
        <v>20</v>
      </c>
      <c r="B10" s="32" t="s">
        <v>21</v>
      </c>
      <c r="C10" s="17" t="s">
        <v>17</v>
      </c>
      <c r="D10" s="26"/>
      <c r="E10" s="26" t="s">
        <v>17</v>
      </c>
      <c r="F10" s="26" t="s">
        <v>17</v>
      </c>
      <c r="G10" s="26" t="s">
        <v>17</v>
      </c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28">
        <f>COUNTIF(C10:Q10,"P")</f>
        <v>0</v>
      </c>
      <c r="S10" s="29">
        <f>COUNTIF(C10:Q10,"F")</f>
        <v>0</v>
      </c>
      <c r="T10" s="30">
        <f>COUNTIF(C10:Q10,"J")</f>
        <v>0</v>
      </c>
    </row>
    <row r="11" ht="34" customHeight="1" spans="1:20">
      <c r="A11" s="23" t="s">
        <v>22</v>
      </c>
      <c r="B11" s="24" t="s">
        <v>23</v>
      </c>
      <c r="C11" s="25" t="s">
        <v>17</v>
      </c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28">
        <f>COUNTIF(C11:Q11,"P")</f>
        <v>0</v>
      </c>
      <c r="S11" s="29">
        <f>COUNTIF(C11:Q11,"F")</f>
        <v>0</v>
      </c>
      <c r="T11" s="30">
        <f>COUNTIF(C11:Q11,"J")</f>
        <v>0</v>
      </c>
    </row>
    <row r="12" ht="34" customHeight="1" spans="1:20">
      <c r="A12" s="33">
        <v>13658</v>
      </c>
      <c r="B12" s="34" t="s">
        <v>24</v>
      </c>
      <c r="C12" s="35" t="s">
        <v>17</v>
      </c>
      <c r="D12" s="36" t="s">
        <v>17</v>
      </c>
      <c r="E12" s="36" t="s">
        <v>17</v>
      </c>
      <c r="F12" s="36" t="s">
        <v>17</v>
      </c>
      <c r="G12" s="36" t="s">
        <v>17</v>
      </c>
      <c r="H12" s="36" t="s">
        <v>17</v>
      </c>
      <c r="I12" s="36"/>
      <c r="J12" s="36"/>
      <c r="K12" s="36"/>
      <c r="L12" s="36"/>
      <c r="M12" s="36"/>
      <c r="N12" s="36"/>
      <c r="O12" s="36"/>
      <c r="P12" s="36"/>
      <c r="Q12" s="37"/>
      <c r="R12" s="38"/>
      <c r="S12" s="39"/>
      <c r="T12" s="40"/>
    </row>
    <row r="13" ht="34" customHeight="1" spans="1:20">
      <c r="A13" s="41" t="s">
        <v>25</v>
      </c>
      <c r="B13" s="42" t="s">
        <v>26</v>
      </c>
      <c r="C13" s="43" t="s">
        <v>27</v>
      </c>
      <c r="D13" s="44" t="s">
        <v>17</v>
      </c>
      <c r="E13" s="44" t="s">
        <v>17</v>
      </c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5"/>
      <c r="R13" s="46">
        <f>COUNTIF(C13:Q13,"P")</f>
        <v>0</v>
      </c>
      <c r="S13" s="47">
        <f>COUNTIF(C13:Q13,"F")</f>
        <v>0</v>
      </c>
      <c r="T13" s="48">
        <f>COUNTIF(C13:Q13,"J")</f>
        <v>0</v>
      </c>
    </row>
    <row r="14" ht="9" customHeight="1" spans="1:20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ht="25" customHeight="1" spans="1:20">
      <c r="A15" s="49"/>
      <c r="B15" s="49" t="s">
        <v>28</v>
      </c>
      <c r="C15" s="50">
        <f>COUNTIF(C8:C13,"X")+COUNTIF(C8:C13,"F")+COUNTIF(C8:C13,"J")</f>
        <v>6</v>
      </c>
      <c r="D15" s="50">
        <f>COUNTIF(D8:D13,"X")+COUNTIF(D8:D13,"F")+COUNTIF(D8:D13,"J")</f>
        <v>3</v>
      </c>
      <c r="E15" s="50">
        <f t="shared" ref="E15:Q15" si="0">COUNTIF(E8:E13,"X")+COUNTIF(E8:E13,"F")+COUNTIF(E8:E13,"J")</f>
        <v>5</v>
      </c>
      <c r="F15" s="50">
        <f t="shared" si="0"/>
        <v>3</v>
      </c>
      <c r="G15" s="50">
        <f t="shared" si="0"/>
        <v>2</v>
      </c>
      <c r="H15" s="50">
        <f t="shared" si="0"/>
        <v>1</v>
      </c>
      <c r="I15" s="50">
        <f t="shared" si="0"/>
        <v>1</v>
      </c>
      <c r="J15" s="50">
        <f t="shared" si="0"/>
        <v>0</v>
      </c>
      <c r="K15" s="50">
        <f t="shared" si="0"/>
        <v>0</v>
      </c>
      <c r="L15" s="50">
        <f t="shared" si="0"/>
        <v>0</v>
      </c>
      <c r="M15" s="50">
        <f t="shared" si="0"/>
        <v>0</v>
      </c>
      <c r="N15" s="50">
        <f t="shared" si="0"/>
        <v>0</v>
      </c>
      <c r="O15" s="50">
        <f t="shared" si="0"/>
        <v>0</v>
      </c>
      <c r="P15" s="50">
        <f t="shared" si="0"/>
        <v>0</v>
      </c>
      <c r="Q15" s="50">
        <f t="shared" si="0"/>
        <v>0</v>
      </c>
      <c r="R15" s="50">
        <f>SUM(R8:R13)</f>
        <v>0</v>
      </c>
      <c r="S15" s="50">
        <f>SUM(S8:S13)</f>
        <v>0</v>
      </c>
      <c r="T15" s="50">
        <f>SUM(T8:T13)</f>
        <v>0</v>
      </c>
    </row>
    <row r="16" ht="12" customHeight="1" spans="1:20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ht="20" customHeight="1" spans="1:20">
      <c r="A17" s="51" t="s">
        <v>29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ht="20" customHeight="1" spans="1:20">
      <c r="A18" s="52" t="s">
        <v>30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ht="20" customHeight="1" spans="1:20">
      <c r="A19" s="53" t="s">
        <v>31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ht="20" customHeight="1" spans="1: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</sheetData>
  <conditionalFormatting sqref="C8:Q13">
    <cfRule type="expression" dxfId="0" priority="1">
      <formula>C8="P"</formula>
    </cfRule>
    <cfRule type="expression" dxfId="1" priority="2">
      <formula>C8="F"</formula>
    </cfRule>
    <cfRule type="expression" dxfId="2" priority="3">
      <formula>C8="J"</formula>
    </cfRule>
  </conditionalFormatting>
  <dataValidations count="1">
    <dataValidation type="list" sqref="C8:Q13">
      <formula1>"P,F,J"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Presenças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Luís Cunha</cp:lastModifiedBy>
  <dcterms:created xsi:type="dcterms:W3CDTF">2026-09-24T12:56:00Z</dcterms:created>
  <dcterms:modified xsi:type="dcterms:W3CDTF">2026-10-29T10:16:39Z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74053B9932E04424B5E8AF526DF6621B_12</vt:lpwstr>
  </property>
  <property fmtid="{D5CDD505-2E9C-101B-9397-08002B2CF9AE}" pid="3" name="KSOProductBuildVer">
    <vt:lpwstr>2070-12.1.0.29162</vt:lpwstr>
  </property>
  <property fmtid="{D5CDD505-2E9C-101B-9397-08002B2CF9AE}" pid="4" name="CalculationRule">
    <vt:i4>0</vt:i4>
  </property>
</Properties>
</file>