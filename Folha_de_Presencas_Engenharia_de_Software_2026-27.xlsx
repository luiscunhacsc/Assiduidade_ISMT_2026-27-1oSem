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6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<sst xmlns="http://schemas.openxmlformats.org/spreadsheetml/2006/main" count="39" uniqueCount="32">
  <si>
    <t>REGISTO DE PRESENÇAS</t>
  </si>
  <si>
    <t>Engenharia de Software  ·  27C1012  ·  Licenciatura em Informática</t>
  </si>
  <si>
    <t>2026/27  ·  1.º semestre  ·  quintas-feiras, 09h30–13h00  ·  15 aulas previstas</t>
  </si>
  <si>
    <t>ESTUDANTES</t>
  </si>
  <si>
    <t>SET</t>
  </si>
  <si>
    <t>OUT</t>
  </si>
  <si>
    <t>NOV</t>
  </si>
  <si>
    <t>DEZ</t>
  </si>
  <si>
    <t>JAN</t>
  </si>
  <si>
    <t>TOTAIS</t>
  </si>
  <si>
    <t>N.º aluno</t>
  </si>
  <si>
    <t>Nome</t>
  </si>
  <si>
    <t>P</t>
  </si>
  <si>
    <t>F</t>
  </si>
  <si>
    <t>J</t>
  </si>
  <si>
    <t>13423</t>
  </si>
  <si>
    <t>Adalgisa Falicane Mateus Pedro</t>
  </si>
  <si>
    <t>X</t>
  </si>
  <si>
    <t>13571</t>
  </si>
  <si>
    <t>Afonso Vitoria Fião Lopes de Almeida</t>
  </si>
  <si>
    <t>13439</t>
  </si>
  <si>
    <t>Américo Paz Catumba Tomás</t>
  </si>
  <si>
    <t>882180</t>
  </si>
  <si>
    <t>Marina Archeli Perez</t>
  </si>
  <si>
    <t>Thaniel Pedro</t>
  </si>
  <si>
    <t>13422</t>
  </si>
  <si>
    <t>Vitor Ângelo Medeiros e Silva</t>
  </si>
  <si>
    <t>x</t>
  </si>
  <si>
    <t>Registos por aula</t>
  </si>
  <si>
    <t>X  Presente     F  Falta     J  Falta justificada     ·     Célula vazia: ainda por registar</t>
  </si>
  <si>
    <t>24/12 e 31/12 coincidem com as férias de Natal. Essas datas foram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</si>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</sst>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1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auto="1"/>
      </bottom>
      <diagonal/>
    </border>
    <border>
      <left/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/>
      <top style="thin">
        <color rgb="FFDCE5E9"/>
      </top>
      <bottom style="thin">
        <color auto="1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auto="1"/>
      </bottom>
      <diagonal/>
    </border>
    <border>
      <left style="thin">
        <color rgb="FFD5E0E4"/>
      </left>
      <right/>
      <top style="thin">
        <color rgb="FFDCE5E9"/>
      </top>
      <bottom style="thin">
        <color auto="1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/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9" borderId="3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2" applyNumberFormat="0" applyFill="0" applyAlignment="0" applyProtection="0">
      <alignment vertical="center"/>
    </xf>
    <xf numFmtId="0" fontId="18" fillId="0" borderId="32" applyNumberFormat="0" applyFill="0" applyAlignment="0" applyProtection="0">
      <alignment vertical="center"/>
    </xf>
    <xf numFmtId="0" fontId="19" fillId="0" borderId="3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0" borderId="34" applyNumberFormat="0" applyAlignment="0" applyProtection="0">
      <alignment vertical="center"/>
    </xf>
    <xf numFmtId="0" fontId="21" fillId="11" borderId="35" applyNumberFormat="0" applyAlignment="0" applyProtection="0">
      <alignment vertical="center"/>
    </xf>
    <xf numFmtId="0" fontId="22" fillId="11" borderId="34" applyNumberFormat="0" applyAlignment="0" applyProtection="0">
      <alignment vertical="center"/>
    </xf>
    <xf numFmtId="0" fontId="23" fillId="12" borderId="36" applyNumberFormat="0" applyAlignment="0" applyProtection="0">
      <alignment vertical="center"/>
    </xf>
    <xf numFmtId="0" fontId="24" fillId="0" borderId="37" applyNumberFormat="0" applyFill="0" applyAlignment="0" applyProtection="0">
      <alignment vertical="center"/>
    </xf>
    <xf numFmtId="0" fontId="25" fillId="0" borderId="38" applyNumberFormat="0" applyFill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</cellStyleXfs>
  <cellXfs count="51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left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vertical="center"/>
    </xf>
    <xf numFmtId="0" fontId="7" fillId="5" borderId="6" xfId="0" applyNumberFormat="1" applyFont="1" applyFill="1" applyBorder="1" applyAlignment="1">
      <alignment horizontal="center" vertical="center"/>
    </xf>
    <xf numFmtId="0" fontId="7" fillId="5" borderId="7" xfId="0" applyNumberFormat="1" applyFont="1" applyFill="1" applyBorder="1" applyAlignment="1">
      <alignment horizontal="center" vertical="center"/>
    </xf>
    <xf numFmtId="0" fontId="7" fillId="5" borderId="8" xfId="0" applyNumberFormat="1" applyFont="1" applyFill="1" applyBorder="1" applyAlignment="1">
      <alignment horizontal="center" vertical="center"/>
    </xf>
    <xf numFmtId="0" fontId="8" fillId="6" borderId="9" xfId="0" applyNumberFormat="1" applyFont="1" applyFill="1" applyBorder="1" applyAlignment="1">
      <alignment horizontal="center" vertical="center"/>
    </xf>
    <xf numFmtId="0" fontId="8" fillId="6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horizontal="center" vertical="center"/>
    </xf>
    <xf numFmtId="0" fontId="1" fillId="6" borderId="12" xfId="0" applyNumberFormat="1" applyFont="1" applyFill="1" applyBorder="1" applyAlignment="1">
      <alignment horizontal="center" vertical="center"/>
    </xf>
    <xf numFmtId="0" fontId="6" fillId="6" borderId="12" xfId="0" applyNumberFormat="1" applyFont="1" applyFill="1" applyBorder="1" applyAlignment="1">
      <alignment vertical="center"/>
    </xf>
    <xf numFmtId="0" fontId="7" fillId="5" borderId="13" xfId="0" applyNumberFormat="1" applyFont="1" applyFill="1" applyBorder="1" applyAlignment="1">
      <alignment horizontal="center" vertical="center"/>
    </xf>
    <xf numFmtId="0" fontId="7" fillId="5" borderId="14" xfId="0" applyNumberFormat="1" applyFont="1" applyFill="1" applyBorder="1" applyAlignment="1">
      <alignment horizontal="center" vertical="center"/>
    </xf>
    <xf numFmtId="0" fontId="7" fillId="5" borderId="15" xfId="0" applyNumberFormat="1" applyFont="1" applyFill="1" applyBorder="1" applyAlignment="1">
      <alignment horizontal="center" vertical="center"/>
    </xf>
    <xf numFmtId="0" fontId="8" fillId="6" borderId="16" xfId="0" applyNumberFormat="1" applyFont="1" applyFill="1" applyBorder="1" applyAlignment="1">
      <alignment horizontal="center" vertical="center"/>
    </xf>
    <xf numFmtId="0" fontId="8" fillId="6" borderId="17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vertical="center"/>
    </xf>
    <xf numFmtId="0" fontId="1" fillId="7" borderId="18" xfId="0" applyNumberFormat="1" applyFont="1" applyFill="1" applyBorder="1" applyAlignment="1">
      <alignment horizontal="center" vertical="center"/>
    </xf>
    <xf numFmtId="0" fontId="6" fillId="6" borderId="18" xfId="0" applyNumberFormat="1" applyFont="1" applyFill="1" applyBorder="1" applyAlignment="1">
      <alignment vertical="center"/>
    </xf>
    <xf numFmtId="0" fontId="7" fillId="5" borderId="19" xfId="0" applyNumberFormat="1" applyFont="1" applyFill="1" applyBorder="1" applyAlignment="1">
      <alignment horizontal="center" vertical="center"/>
    </xf>
    <xf numFmtId="0" fontId="7" fillId="5" borderId="20" xfId="0" applyNumberFormat="1" applyFont="1" applyFill="1" applyBorder="1" applyAlignment="1">
      <alignment horizontal="center" vertical="center"/>
    </xf>
    <xf numFmtId="0" fontId="7" fillId="5" borderId="21" xfId="0" applyNumberFormat="1" applyFont="1" applyFill="1" applyBorder="1" applyAlignment="1">
      <alignment horizontal="center" vertical="center"/>
    </xf>
    <xf numFmtId="0" fontId="8" fillId="6" borderId="22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1" fillId="0" borderId="24" xfId="0" applyNumberFormat="1" applyFont="1" applyFill="1" applyBorder="1" applyAlignment="1">
      <alignment horizontal="center" vertical="center"/>
    </xf>
    <xf numFmtId="0" fontId="6" fillId="0" borderId="24" xfId="0" applyNumberFormat="1" applyFont="1" applyFill="1" applyBorder="1" applyAlignment="1">
      <alignment vertical="center"/>
    </xf>
    <xf numFmtId="0" fontId="7" fillId="5" borderId="25" xfId="0" applyNumberFormat="1" applyFont="1" applyFill="1" applyBorder="1" applyAlignment="1">
      <alignment horizontal="center" vertical="center"/>
    </xf>
    <xf numFmtId="0" fontId="7" fillId="5" borderId="26" xfId="0" applyNumberFormat="1" applyFont="1" applyFill="1" applyBorder="1" applyAlignment="1">
      <alignment horizontal="center" vertical="center"/>
    </xf>
    <xf numFmtId="0" fontId="7" fillId="5" borderId="27" xfId="0" applyNumberFormat="1" applyFont="1" applyFill="1" applyBorder="1" applyAlignment="1">
      <alignment horizontal="center" vertical="center"/>
    </xf>
    <xf numFmtId="0" fontId="8" fillId="6" borderId="28" xfId="0" applyNumberFormat="1" applyFont="1" applyFill="1" applyBorder="1" applyAlignment="1">
      <alignment horizontal="center" vertical="center"/>
    </xf>
    <xf numFmtId="0" fontId="8" fillId="6" borderId="29" xfId="0" applyNumberFormat="1" applyFont="1" applyFill="1" applyBorder="1" applyAlignment="1">
      <alignment horizontal="center" vertical="center"/>
    </xf>
    <xf numFmtId="0" fontId="8" fillId="8" borderId="30" xfId="0" applyNumberFormat="1" applyFont="1" applyFill="1" applyBorder="1" applyAlignment="1">
      <alignment vertical="center"/>
    </xf>
    <xf numFmtId="0" fontId="8" fillId="8" borderId="3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14583B"/>
      </font>
      <fill>
        <patternFill patternType="solid">
          <bgColor rgb="FFDCF2E8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285785"/>
      </font>
      <fill>
        <patternFill patternType="solid">
          <bgColor rgb="FFDEEDF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T21"/>
  <sheetViews>
    <sheetView showGridLines="0" tabSelected="1" workbookViewId="0">
      <pane xSplit="2" ySplit="7" topLeftCell="J10" activePane="bottomRight" state="frozen"/>
      <selection/>
      <selection pane="topRight"/>
      <selection pane="bottomLeft"/>
      <selection pane="bottomRight" activeCell="T13" sqref="T13"/>
    </sheetView>
  </sheetViews>
  <sheetFormatPr defaultColWidth="9" defaultRowHeight="14"/>
  <cols>
    <col min="1" max="1" width="12" customWidth="1"/>
    <col min="2" max="2" width="39" customWidth="1"/>
    <col min="3" max="17" width="8.3" customWidth="1"/>
    <col min="18" max="20" width="8.2" customWidth="1"/>
  </cols>
  <sheetData>
    <row r="1" ht="10" customHeight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8" customHeight="1" spans="1:20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1" customHeight="1" spans="1:20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ht="20" customHeight="1" spans="1:20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customHeight="1" spans="1:20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ht="22" customHeight="1" spans="1:20">
      <c r="A6" s="6"/>
      <c r="B6" s="7" t="s">
        <v>3</v>
      </c>
      <c r="C6" s="8" t="s">
        <v>4</v>
      </c>
      <c r="D6" s="9"/>
      <c r="E6" s="8" t="s">
        <v>5</v>
      </c>
      <c r="F6" s="9"/>
      <c r="G6" s="9"/>
      <c r="H6" s="9"/>
      <c r="I6" s="9"/>
      <c r="J6" s="8" t="s">
        <v>6</v>
      </c>
      <c r="K6" s="9"/>
      <c r="L6" s="9"/>
      <c r="M6" s="9"/>
      <c r="N6" s="8" t="s">
        <v>7</v>
      </c>
      <c r="O6" s="9"/>
      <c r="P6" s="9"/>
      <c r="Q6" s="8" t="s">
        <v>8</v>
      </c>
      <c r="R6" s="7" t="s">
        <v>9</v>
      </c>
      <c r="S6" s="6"/>
      <c r="T6" s="6"/>
    </row>
    <row r="7" ht="29" customHeight="1" spans="1:20">
      <c r="A7" s="10" t="s">
        <v>10</v>
      </c>
      <c r="B7" s="11" t="s">
        <v>11</v>
      </c>
      <c r="C7" s="12">
        <v>46282</v>
      </c>
      <c r="D7" s="12">
        <v>46289</v>
      </c>
      <c r="E7" s="12">
        <v>46296</v>
      </c>
      <c r="F7" s="12">
        <v>46303</v>
      </c>
      <c r="G7" s="12">
        <v>46310</v>
      </c>
      <c r="H7" s="12">
        <v>46317</v>
      </c>
      <c r="I7" s="12">
        <v>46324</v>
      </c>
      <c r="J7" s="12">
        <v>46331</v>
      </c>
      <c r="K7" s="12">
        <v>46338</v>
      </c>
      <c r="L7" s="12">
        <v>46345</v>
      </c>
      <c r="M7" s="12">
        <v>46352</v>
      </c>
      <c r="N7" s="12">
        <v>46359</v>
      </c>
      <c r="O7" s="12">
        <v>46366</v>
      </c>
      <c r="P7" s="12">
        <v>46373</v>
      </c>
      <c r="Q7" s="12">
        <v>46394</v>
      </c>
      <c r="R7" s="13" t="s">
        <v>12</v>
      </c>
      <c r="S7" s="13" t="s">
        <v>13</v>
      </c>
      <c r="T7" s="14" t="s">
        <v>14</v>
      </c>
    </row>
    <row r="8" ht="34" customHeight="1" spans="1:20">
      <c r="A8" s="15" t="s">
        <v>15</v>
      </c>
      <c r="B8" s="16" t="s">
        <v>16</v>
      </c>
      <c r="C8" s="17" t="s">
        <v>17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9"/>
      <c r="R8" s="20">
        <f t="shared" ref="R8:R13" si="0">COUNTIF(C8:Q8,"X")</f>
        <v>1</v>
      </c>
      <c r="S8" s="21">
        <f>COUNTIF(C8:Q8,"F")</f>
        <v>0</v>
      </c>
      <c r="T8" s="22">
        <f>COUNTIF(C8:Q8,"J")</f>
        <v>0</v>
      </c>
    </row>
    <row r="9" ht="34" customHeight="1" spans="1:20">
      <c r="A9" s="23" t="s">
        <v>18</v>
      </c>
      <c r="B9" s="24" t="s">
        <v>19</v>
      </c>
      <c r="C9" s="25" t="s">
        <v>17</v>
      </c>
      <c r="D9" s="26" t="s">
        <v>17</v>
      </c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7"/>
      <c r="R9" s="20">
        <f t="shared" si="0"/>
        <v>2</v>
      </c>
      <c r="S9" s="28">
        <f>COUNTIF(C9:Q9,"F")</f>
        <v>0</v>
      </c>
      <c r="T9" s="29">
        <f>COUNTIF(C9:Q9,"J")</f>
        <v>0</v>
      </c>
    </row>
    <row r="10" ht="34" customHeight="1" spans="1:20">
      <c r="A10" s="30" t="s">
        <v>20</v>
      </c>
      <c r="B10" s="31" t="s">
        <v>21</v>
      </c>
      <c r="C10" s="17" t="s">
        <v>17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7"/>
      <c r="R10" s="20">
        <f t="shared" si="0"/>
        <v>1</v>
      </c>
      <c r="S10" s="28">
        <f>COUNTIF(C10:Q10,"F")</f>
        <v>0</v>
      </c>
      <c r="T10" s="29">
        <f>COUNTIF(C10:Q10,"J")</f>
        <v>0</v>
      </c>
    </row>
    <row r="11" ht="34" customHeight="1" spans="1:20">
      <c r="A11" s="23" t="s">
        <v>22</v>
      </c>
      <c r="B11" s="24" t="s">
        <v>23</v>
      </c>
      <c r="C11" s="25" t="s">
        <v>17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7"/>
      <c r="R11" s="20">
        <f t="shared" si="0"/>
        <v>1</v>
      </c>
      <c r="S11" s="28">
        <f>COUNTIF(C11:Q11,"F")</f>
        <v>0</v>
      </c>
      <c r="T11" s="29">
        <f>COUNTIF(C11:Q11,"J")</f>
        <v>0</v>
      </c>
    </row>
    <row r="12" ht="34" customHeight="1" spans="1:20">
      <c r="A12" s="32"/>
      <c r="B12" s="33" t="s">
        <v>24</v>
      </c>
      <c r="C12" s="34" t="s">
        <v>17</v>
      </c>
      <c r="D12" s="35" t="s">
        <v>17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6"/>
      <c r="R12" s="20">
        <f t="shared" si="0"/>
        <v>2</v>
      </c>
      <c r="S12" s="37"/>
      <c r="T12" s="38"/>
    </row>
    <row r="13" ht="34" customHeight="1" spans="1:20">
      <c r="A13" s="39" t="s">
        <v>25</v>
      </c>
      <c r="B13" s="40" t="s">
        <v>26</v>
      </c>
      <c r="C13" s="41" t="s">
        <v>27</v>
      </c>
      <c r="D13" s="42" t="s">
        <v>17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R13" s="20">
        <f t="shared" si="0"/>
        <v>2</v>
      </c>
      <c r="S13" s="44">
        <f>COUNTIF(C13:Q13,"F")</f>
        <v>0</v>
      </c>
      <c r="T13" s="45">
        <f>COUNTIF(C13:Q13,"J")</f>
        <v>0</v>
      </c>
    </row>
    <row r="14" ht="9" customHeight="1" spans="1:20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ht="25" customHeight="1" spans="1:20">
      <c r="A15" s="46"/>
      <c r="B15" s="46" t="s">
        <v>28</v>
      </c>
      <c r="C15" s="47">
        <f>COUNTIF(C8:C13,"X")+COUNTIF(C8:C13,"F")+COUNTIF(C8:C13,"J")</f>
        <v>6</v>
      </c>
      <c r="D15" s="47">
        <f>COUNTIF(D8:D13,"X")+COUNTIF(D8:D13,"F")+COUNTIF(D8:D13,"J")</f>
        <v>3</v>
      </c>
      <c r="E15" s="47">
        <f t="shared" ref="E15:Q15" si="1">COUNTIF(E8:E13,"X")+COUNTIF(E8:E13,"F")+COUNTIF(E8:E13,"J")</f>
        <v>0</v>
      </c>
      <c r="F15" s="47">
        <f t="shared" si="1"/>
        <v>0</v>
      </c>
      <c r="G15" s="47">
        <f t="shared" si="1"/>
        <v>0</v>
      </c>
      <c r="H15" s="47">
        <f t="shared" si="1"/>
        <v>0</v>
      </c>
      <c r="I15" s="47">
        <f t="shared" si="1"/>
        <v>0</v>
      </c>
      <c r="J15" s="47">
        <f t="shared" si="1"/>
        <v>0</v>
      </c>
      <c r="K15" s="47">
        <f t="shared" si="1"/>
        <v>0</v>
      </c>
      <c r="L15" s="47">
        <f t="shared" si="1"/>
        <v>0</v>
      </c>
      <c r="M15" s="47">
        <f t="shared" si="1"/>
        <v>0</v>
      </c>
      <c r="N15" s="47">
        <f t="shared" si="1"/>
        <v>0</v>
      </c>
      <c r="O15" s="47">
        <f t="shared" si="1"/>
        <v>0</v>
      </c>
      <c r="P15" s="47">
        <f t="shared" si="1"/>
        <v>0</v>
      </c>
      <c r="Q15" s="47">
        <f t="shared" si="1"/>
        <v>0</v>
      </c>
      <c r="R15" s="47">
        <f>SUM(R8:R13)</f>
        <v>9</v>
      </c>
      <c r="S15" s="47">
        <f>SUM(S8:S13)</f>
        <v>0</v>
      </c>
      <c r="T15" s="47">
        <f>SUM(T8:T13)</f>
        <v>0</v>
      </c>
    </row>
    <row r="16" ht="12" customHeight="1" spans="1:20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ht="20" customHeight="1" spans="1:20">
      <c r="A17" s="48" t="s">
        <v>29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ht="20" customHeight="1" spans="1:20">
      <c r="A18" s="49" t="s">
        <v>30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ht="20" customHeight="1" spans="1:20">
      <c r="A19" s="50" t="s">
        <v>31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ht="20" customHeight="1" spans="1: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</sheetData>
  <conditionalFormatting sqref="C8:Q13">
    <cfRule type="expression" dxfId="0" priority="1">
      <formula>C8="P"</formula>
    </cfRule>
    <cfRule type="expression" dxfId="1" priority="2">
      <formula>C8="F"</formula>
    </cfRule>
    <cfRule type="expression" dxfId="2" priority="3">
      <formula>C8="J"</formula>
    </cfRule>
  </conditionalFormatting>
  <dataValidations count="1">
    <dataValidation type="list" sqref="C8:Q13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2026-09-24T12:56:00Z</dcterms:created>
  <dcterms:modified xsi:type="dcterms:W3CDTF">2026-09-28T09:55:13Z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A04CA9F98AD94B4D8A6E49638CCDFF01_13</vt:lpwstr>
  </property>
  <property fmtid="{D5CDD505-2E9C-101B-9397-08002B2CF9AE}" pid="3" name="KSOProductBuildVer">
    <vt:lpwstr>2070-12.1.0.28485</vt:lpwstr>
  </property>
  <property fmtid="{D5CDD505-2E9C-101B-9397-08002B2CF9AE}" pid="4" name="CalculationRule">
    <vt:i4>0</vt:i4>
  </property>
</Properties>
</file>